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inal Year project\"/>
    </mc:Choice>
  </mc:AlternateContent>
  <xr:revisionPtr revIDLastSave="0" documentId="13_ncr:1_{0B1186AD-CA66-434A-80EF-A14F2980D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_Stations" sheetId="1" r:id="rId1"/>
    <sheet name="City_Lookup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 a="1"/>
  <c r="G3" i="1" s="1"/>
  <c r="G4" i="1" a="1"/>
  <c r="G4" i="1"/>
  <c r="G5" i="1" a="1"/>
  <c r="G5" i="1" s="1"/>
  <c r="G6" i="1" a="1"/>
  <c r="G6" i="1" s="1"/>
  <c r="H6" i="1" s="1"/>
  <c r="G7" i="1" a="1"/>
  <c r="G7" i="1" s="1"/>
  <c r="G8" i="1" a="1"/>
  <c r="G8" i="1" s="1"/>
  <c r="H8" i="1" s="1"/>
  <c r="G9" i="1" a="1"/>
  <c r="G9" i="1" s="1"/>
  <c r="G10" i="1" a="1"/>
  <c r="G10" i="1" s="1"/>
  <c r="H10" i="1" s="1"/>
  <c r="G11" i="1" a="1"/>
  <c r="G11" i="1" s="1"/>
  <c r="G12" i="1" a="1"/>
  <c r="G12" i="1" s="1"/>
  <c r="H12" i="1" s="1"/>
  <c r="G13" i="1" a="1"/>
  <c r="G13" i="1" s="1"/>
  <c r="G14" i="1" a="1"/>
  <c r="G14" i="1"/>
  <c r="G15" i="1" a="1"/>
  <c r="G15" i="1" s="1"/>
  <c r="G16" i="1" a="1"/>
  <c r="G16" i="1"/>
  <c r="G17" i="1" a="1"/>
  <c r="G17" i="1" s="1"/>
  <c r="H17" i="1" s="1"/>
  <c r="G18" i="1" a="1"/>
  <c r="G18" i="1" s="1"/>
  <c r="H18" i="1" s="1"/>
  <c r="G19" i="1" a="1"/>
  <c r="G19" i="1" s="1"/>
  <c r="G20" i="1" a="1"/>
  <c r="G20" i="1"/>
  <c r="G21" i="1" a="1"/>
  <c r="G21" i="1" s="1"/>
  <c r="G22" i="1" a="1"/>
  <c r="G22" i="1" s="1"/>
  <c r="H22" i="1" s="1"/>
  <c r="G23" i="1" a="1"/>
  <c r="G23" i="1" s="1"/>
  <c r="H23" i="1" s="1"/>
  <c r="G24" i="1" a="1"/>
  <c r="G24" i="1" s="1"/>
  <c r="H24" i="1" s="1"/>
  <c r="G25" i="1" a="1"/>
  <c r="G25" i="1" s="1"/>
  <c r="G26" i="1" a="1"/>
  <c r="G26" i="1"/>
  <c r="G27" i="1" a="1"/>
  <c r="G27" i="1" s="1"/>
  <c r="G28" i="1" a="1"/>
  <c r="G28" i="1" s="1"/>
  <c r="H28" i="1" s="1"/>
  <c r="G29" i="1" a="1"/>
  <c r="G29" i="1" s="1"/>
  <c r="H29" i="1" s="1"/>
  <c r="G30" i="1" a="1"/>
  <c r="G30" i="1" s="1"/>
  <c r="H30" i="1" s="1"/>
  <c r="G31" i="1" a="1"/>
  <c r="G31" i="1" s="1"/>
  <c r="G32" i="1" a="1"/>
  <c r="G32" i="1" s="1"/>
  <c r="H32" i="1" s="1"/>
  <c r="G33" i="1" a="1"/>
  <c r="G33" i="1" s="1"/>
  <c r="G34" i="1" a="1"/>
  <c r="G34" i="1" s="1"/>
  <c r="H34" i="1" s="1"/>
  <c r="G35" i="1" a="1"/>
  <c r="G35" i="1" s="1"/>
  <c r="G36" i="1" a="1"/>
  <c r="G36" i="1" s="1"/>
  <c r="H36" i="1" s="1"/>
  <c r="G37" i="1" a="1"/>
  <c r="G37" i="1" s="1"/>
  <c r="G38" i="1" a="1"/>
  <c r="G38" i="1"/>
  <c r="G39" i="1" a="1"/>
  <c r="G39" i="1" s="1"/>
  <c r="G40" i="1" a="1"/>
  <c r="G40" i="1" s="1"/>
  <c r="H40" i="1" s="1"/>
  <c r="G41" i="1" a="1"/>
  <c r="G41" i="1" s="1"/>
  <c r="H41" i="1" s="1"/>
  <c r="G42" i="1" a="1"/>
  <c r="G42" i="1" s="1"/>
  <c r="G43" i="1" a="1"/>
  <c r="G43" i="1" s="1"/>
  <c r="G44" i="1" a="1"/>
  <c r="G44" i="1"/>
  <c r="G45" i="1" a="1"/>
  <c r="G45" i="1" s="1"/>
  <c r="G46" i="1" a="1"/>
  <c r="G46" i="1" s="1"/>
  <c r="G47" i="1" a="1"/>
  <c r="G47" i="1" s="1"/>
  <c r="H47" i="1" s="1"/>
  <c r="G48" i="1" a="1"/>
  <c r="G48" i="1" s="1"/>
  <c r="H48" i="1" s="1"/>
  <c r="G49" i="1" a="1"/>
  <c r="G49" i="1" s="1"/>
  <c r="G50" i="1" a="1"/>
  <c r="G50" i="1"/>
  <c r="G51" i="1" a="1"/>
  <c r="G51" i="1" s="1"/>
  <c r="G52" i="1" a="1"/>
  <c r="G52" i="1" s="1"/>
  <c r="H52" i="1" s="1"/>
  <c r="G53" i="1" a="1"/>
  <c r="G53" i="1" s="1"/>
  <c r="H53" i="1" s="1"/>
  <c r="G54" i="1" a="1"/>
  <c r="G54" i="1" s="1"/>
  <c r="G55" i="1" a="1"/>
  <c r="G55" i="1" s="1"/>
  <c r="G56" i="1" a="1"/>
  <c r="G56" i="1"/>
  <c r="G57" i="1" a="1"/>
  <c r="G57" i="1" s="1"/>
  <c r="G58" i="1" a="1"/>
  <c r="G58" i="1" s="1"/>
  <c r="G59" i="1" a="1"/>
  <c r="G59" i="1" s="1"/>
  <c r="H59" i="1" s="1"/>
  <c r="G60" i="1" a="1"/>
  <c r="G60" i="1" s="1"/>
  <c r="H60" i="1" s="1"/>
  <c r="G61" i="1" a="1"/>
  <c r="G61" i="1" s="1"/>
  <c r="G62" i="1" a="1"/>
  <c r="G62" i="1"/>
  <c r="G63" i="1" a="1"/>
  <c r="G63" i="1" s="1"/>
  <c r="G64" i="1" a="1"/>
  <c r="G64" i="1" s="1"/>
  <c r="H64" i="1" s="1"/>
  <c r="G65" i="1" a="1"/>
  <c r="G65" i="1" s="1"/>
  <c r="H65" i="1" s="1"/>
  <c r="G66" i="1" a="1"/>
  <c r="G66" i="1" s="1"/>
  <c r="H66" i="1" s="1"/>
  <c r="G67" i="1" a="1"/>
  <c r="G67" i="1" s="1"/>
  <c r="G68" i="1" a="1"/>
  <c r="G68" i="1"/>
  <c r="G69" i="1" a="1"/>
  <c r="G69" i="1" s="1"/>
  <c r="G70" i="1" a="1"/>
  <c r="G70" i="1" s="1"/>
  <c r="H70" i="1" s="1"/>
  <c r="G71" i="1" a="1"/>
  <c r="G71" i="1" s="1"/>
  <c r="H71" i="1" s="1"/>
  <c r="G72" i="1" a="1"/>
  <c r="G72" i="1" s="1"/>
  <c r="H72" i="1" s="1"/>
  <c r="G73" i="1" a="1"/>
  <c r="G73" i="1" s="1"/>
  <c r="G74" i="1" a="1"/>
  <c r="G74" i="1"/>
  <c r="G75" i="1" a="1"/>
  <c r="G75" i="1" s="1"/>
  <c r="G76" i="1" a="1"/>
  <c r="G76" i="1" s="1"/>
  <c r="H76" i="1" s="1"/>
  <c r="G77" i="1" a="1"/>
  <c r="G77" i="1" s="1"/>
  <c r="H77" i="1" s="1"/>
  <c r="G78" i="1" a="1"/>
  <c r="G78" i="1" s="1"/>
  <c r="G79" i="1" a="1"/>
  <c r="G79" i="1" s="1"/>
  <c r="G80" i="1" a="1"/>
  <c r="G80" i="1"/>
  <c r="G81" i="1" a="1"/>
  <c r="G81" i="1" s="1"/>
  <c r="G82" i="1" a="1"/>
  <c r="G82" i="1" s="1"/>
  <c r="H82" i="1" s="1"/>
  <c r="G83" i="1" a="1"/>
  <c r="G83" i="1" s="1"/>
  <c r="H83" i="1" s="1"/>
  <c r="G84" i="1" a="1"/>
  <c r="G84" i="1" s="1"/>
  <c r="G85" i="1" a="1"/>
  <c r="G85" i="1" s="1"/>
  <c r="G86" i="1" a="1"/>
  <c r="G86" i="1"/>
  <c r="G87" i="1" a="1"/>
  <c r="G87" i="1" s="1"/>
  <c r="G88" i="1" a="1"/>
  <c r="G88" i="1" s="1"/>
  <c r="H88" i="1" s="1"/>
  <c r="G89" i="1" a="1"/>
  <c r="G89" i="1" s="1"/>
  <c r="H89" i="1" s="1"/>
  <c r="G90" i="1" a="1"/>
  <c r="G90" i="1" s="1"/>
  <c r="H90" i="1" s="1"/>
  <c r="G91" i="1" a="1"/>
  <c r="G91" i="1" s="1"/>
  <c r="G92" i="1" a="1"/>
  <c r="G92" i="1"/>
  <c r="G93" i="1" a="1"/>
  <c r="G93" i="1" s="1"/>
  <c r="G94" i="1" a="1"/>
  <c r="G94" i="1" s="1"/>
  <c r="H94" i="1" s="1"/>
  <c r="G95" i="1" a="1"/>
  <c r="G95" i="1" s="1"/>
  <c r="H95" i="1" s="1"/>
  <c r="G96" i="1" a="1"/>
  <c r="G96" i="1" s="1"/>
  <c r="H96" i="1" s="1"/>
  <c r="G97" i="1" a="1"/>
  <c r="G97" i="1" s="1"/>
  <c r="G98" i="1" a="1"/>
  <c r="G98" i="1"/>
  <c r="G99" i="1" a="1"/>
  <c r="G99" i="1" s="1"/>
  <c r="G100" i="1" a="1"/>
  <c r="G100" i="1" s="1"/>
  <c r="H100" i="1" s="1"/>
  <c r="G101" i="1" a="1"/>
  <c r="G101" i="1" s="1"/>
  <c r="H101" i="1" s="1"/>
  <c r="G102" i="1" a="1"/>
  <c r="G102" i="1" s="1"/>
  <c r="G103" i="1" a="1"/>
  <c r="G103" i="1" s="1"/>
  <c r="G104" i="1" a="1"/>
  <c r="G104" i="1"/>
  <c r="G105" i="1" a="1"/>
  <c r="G105" i="1" s="1"/>
  <c r="G106" i="1" a="1"/>
  <c r="G106" i="1" s="1"/>
  <c r="G107" i="1" a="1"/>
  <c r="G107" i="1" s="1"/>
  <c r="H107" i="1" s="1"/>
  <c r="G108" i="1" a="1"/>
  <c r="G108" i="1" s="1"/>
  <c r="G109" i="1" a="1"/>
  <c r="G109" i="1" s="1"/>
  <c r="G110" i="1" a="1"/>
  <c r="G110" i="1"/>
  <c r="G111" i="1" a="1"/>
  <c r="G111" i="1" s="1"/>
  <c r="G112" i="1" a="1"/>
  <c r="G112" i="1" s="1"/>
  <c r="H112" i="1" s="1"/>
  <c r="G113" i="1" a="1"/>
  <c r="G113" i="1" s="1"/>
  <c r="H113" i="1" s="1"/>
  <c r="G114" i="1" a="1"/>
  <c r="G114" i="1" s="1"/>
  <c r="G115" i="1" a="1"/>
  <c r="G115" i="1" s="1"/>
  <c r="G116" i="1" a="1"/>
  <c r="G116" i="1"/>
  <c r="G117" i="1" a="1"/>
  <c r="G117" i="1" s="1"/>
  <c r="G118" i="1" a="1"/>
  <c r="G118" i="1" s="1"/>
  <c r="G119" i="1" a="1"/>
  <c r="G119" i="1" s="1"/>
  <c r="H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 s="1"/>
  <c r="H124" i="1" s="1"/>
  <c r="G125" i="1" a="1"/>
  <c r="G125" i="1" s="1"/>
  <c r="H125" i="1" s="1"/>
  <c r="G126" i="1" a="1"/>
  <c r="G126" i="1" s="1"/>
  <c r="G127" i="1" a="1"/>
  <c r="G127" i="1" s="1"/>
  <c r="G128" i="1" a="1"/>
  <c r="G128" i="1"/>
  <c r="G129" i="1" a="1"/>
  <c r="G129" i="1" s="1"/>
  <c r="G130" i="1" a="1"/>
  <c r="G130" i="1" s="1"/>
  <c r="G131" i="1" a="1"/>
  <c r="G131" i="1" s="1"/>
  <c r="H131" i="1" s="1"/>
  <c r="G132" i="1" a="1"/>
  <c r="G132" i="1" s="1"/>
  <c r="H132" i="1" s="1"/>
  <c r="G133" i="1" a="1"/>
  <c r="G133" i="1" s="1"/>
  <c r="G134" i="1" a="1"/>
  <c r="G134" i="1"/>
  <c r="G135" i="1" a="1"/>
  <c r="G135" i="1" s="1"/>
  <c r="G136" i="1" a="1"/>
  <c r="G136" i="1" s="1"/>
  <c r="H136" i="1" s="1"/>
  <c r="G137" i="1" a="1"/>
  <c r="G137" i="1" s="1"/>
  <c r="H137" i="1" s="1"/>
  <c r="G138" i="1" a="1"/>
  <c r="G138" i="1" s="1"/>
  <c r="H138" i="1" s="1"/>
  <c r="G139" i="1" a="1"/>
  <c r="G139" i="1" s="1"/>
  <c r="G140" i="1" a="1"/>
  <c r="G140" i="1"/>
  <c r="G141" i="1" a="1"/>
  <c r="G141" i="1" s="1"/>
  <c r="G142" i="1" a="1"/>
  <c r="G142" i="1" s="1"/>
  <c r="H142" i="1" s="1"/>
  <c r="G143" i="1" a="1"/>
  <c r="G143" i="1" s="1"/>
  <c r="H143" i="1" s="1"/>
  <c r="G144" i="1" a="1"/>
  <c r="G144" i="1" s="1"/>
  <c r="H144" i="1" s="1"/>
  <c r="G145" i="1" a="1"/>
  <c r="G145" i="1" s="1"/>
  <c r="G146" i="1" a="1"/>
  <c r="G146" i="1"/>
  <c r="G147" i="1" a="1"/>
  <c r="G147" i="1" s="1"/>
  <c r="G148" i="1" a="1"/>
  <c r="G148" i="1" s="1"/>
  <c r="H148" i="1" s="1"/>
  <c r="G149" i="1" a="1"/>
  <c r="G149" i="1" s="1"/>
  <c r="H149" i="1" s="1"/>
  <c r="G150" i="1" a="1"/>
  <c r="G150" i="1" s="1"/>
  <c r="G151" i="1" a="1"/>
  <c r="G151" i="1" s="1"/>
  <c r="G152" i="1" a="1"/>
  <c r="G152" i="1"/>
  <c r="G153" i="1" a="1"/>
  <c r="G153" i="1" s="1"/>
  <c r="G154" i="1" a="1"/>
  <c r="G154" i="1" s="1"/>
  <c r="H154" i="1" s="1"/>
  <c r="G155" i="1" a="1"/>
  <c r="G155" i="1" s="1"/>
  <c r="H155" i="1" s="1"/>
  <c r="G156" i="1" a="1"/>
  <c r="G156" i="1" s="1"/>
  <c r="G157" i="1" a="1"/>
  <c r="G157" i="1" s="1"/>
  <c r="G158" i="1" a="1"/>
  <c r="G158" i="1"/>
  <c r="G159" i="1" a="1"/>
  <c r="G159" i="1" s="1"/>
  <c r="G160" i="1" a="1"/>
  <c r="G160" i="1" s="1"/>
  <c r="H160" i="1" s="1"/>
  <c r="G161" i="1" a="1"/>
  <c r="G161" i="1" s="1"/>
  <c r="H161" i="1" s="1"/>
  <c r="G162" i="1" a="1"/>
  <c r="G162" i="1" s="1"/>
  <c r="H162" i="1" s="1"/>
  <c r="G163" i="1" a="1"/>
  <c r="G163" i="1" s="1"/>
  <c r="G164" i="1" a="1"/>
  <c r="G164" i="1"/>
  <c r="G165" i="1" a="1"/>
  <c r="G165" i="1" s="1"/>
  <c r="G166" i="1" a="1"/>
  <c r="G166" i="1" s="1"/>
  <c r="H166" i="1" s="1"/>
  <c r="G167" i="1" a="1"/>
  <c r="G167" i="1" s="1"/>
  <c r="H167" i="1" s="1"/>
  <c r="G168" i="1" a="1"/>
  <c r="G168" i="1" s="1"/>
  <c r="H168" i="1" s="1"/>
  <c r="G169" i="1" a="1"/>
  <c r="G169" i="1" s="1"/>
  <c r="G170" i="1" a="1"/>
  <c r="G170" i="1"/>
  <c r="G171" i="1" a="1"/>
  <c r="G171" i="1" s="1"/>
  <c r="G172" i="1" a="1"/>
  <c r="G172" i="1" s="1"/>
  <c r="H172" i="1" s="1"/>
  <c r="G173" i="1" a="1"/>
  <c r="G173" i="1" s="1"/>
  <c r="H173" i="1" s="1"/>
  <c r="G174" i="1" a="1"/>
  <c r="G174" i="1" s="1"/>
  <c r="H174" i="1" s="1"/>
  <c r="G175" i="1" a="1"/>
  <c r="G175" i="1" s="1"/>
  <c r="G176" i="1" a="1"/>
  <c r="G176" i="1"/>
  <c r="G177" i="1" a="1"/>
  <c r="G177" i="1" s="1"/>
  <c r="G178" i="1" a="1"/>
  <c r="G178" i="1" s="1"/>
  <c r="G179" i="1" a="1"/>
  <c r="G179" i="1" s="1"/>
  <c r="H179" i="1" s="1"/>
  <c r="G180" i="1" a="1"/>
  <c r="G180" i="1" s="1"/>
  <c r="G181" i="1" a="1"/>
  <c r="G181" i="1" s="1"/>
  <c r="G182" i="1" a="1"/>
  <c r="G182" i="1"/>
  <c r="G183" i="1" a="1"/>
  <c r="G183" i="1" s="1"/>
  <c r="G184" i="1" a="1"/>
  <c r="G184" i="1" s="1"/>
  <c r="H184" i="1" s="1"/>
  <c r="G185" i="1" a="1"/>
  <c r="G185" i="1" s="1"/>
  <c r="H185" i="1" s="1"/>
  <c r="G186" i="1" a="1"/>
  <c r="G186" i="1" s="1"/>
  <c r="G187" i="1" a="1"/>
  <c r="G187" i="1" s="1"/>
  <c r="G188" i="1" a="1"/>
  <c r="G188" i="1"/>
  <c r="G189" i="1" a="1"/>
  <c r="G189" i="1" s="1"/>
  <c r="G190" i="1" a="1"/>
  <c r="G190" i="1" s="1"/>
  <c r="G191" i="1" a="1"/>
  <c r="G191" i="1" s="1"/>
  <c r="H191" i="1" s="1"/>
  <c r="G192" i="1" a="1"/>
  <c r="G192" i="1" s="1"/>
  <c r="H192" i="1" s="1"/>
  <c r="G193" i="1" a="1"/>
  <c r="G193" i="1" s="1"/>
  <c r="G194" i="1" a="1"/>
  <c r="G194" i="1"/>
  <c r="G195" i="1" a="1"/>
  <c r="G195" i="1" s="1"/>
  <c r="G196" i="1" a="1"/>
  <c r="G196" i="1" s="1"/>
  <c r="H196" i="1" s="1"/>
  <c r="G197" i="1" a="1"/>
  <c r="G197" i="1" s="1"/>
  <c r="H197" i="1" s="1"/>
  <c r="G198" i="1" a="1"/>
  <c r="G198" i="1" s="1"/>
  <c r="H198" i="1" s="1"/>
  <c r="G199" i="1" a="1"/>
  <c r="G199" i="1" s="1"/>
  <c r="G200" i="1" a="1"/>
  <c r="G200" i="1"/>
  <c r="G201" i="1" a="1"/>
  <c r="G201" i="1" s="1"/>
  <c r="G202" i="1" a="1"/>
  <c r="G202" i="1" s="1"/>
  <c r="H202" i="1" s="1"/>
  <c r="G203" i="1" a="1"/>
  <c r="G203" i="1" s="1"/>
  <c r="H203" i="1" s="1"/>
  <c r="G204" i="1" a="1"/>
  <c r="G204" i="1" s="1"/>
  <c r="H204" i="1" s="1"/>
  <c r="G205" i="1" a="1"/>
  <c r="G205" i="1" s="1"/>
  <c r="G206" i="1" a="1"/>
  <c r="G206" i="1"/>
  <c r="G207" i="1" a="1"/>
  <c r="G207" i="1" s="1"/>
  <c r="G208" i="1" a="1"/>
  <c r="G208" i="1" s="1"/>
  <c r="H208" i="1" s="1"/>
  <c r="G209" i="1" a="1"/>
  <c r="G209" i="1" s="1"/>
  <c r="H209" i="1" s="1"/>
  <c r="G210" i="1" a="1"/>
  <c r="G210" i="1" s="1"/>
  <c r="H210" i="1" s="1"/>
  <c r="G211" i="1" a="1"/>
  <c r="G211" i="1" s="1"/>
  <c r="G212" i="1" a="1"/>
  <c r="G212" i="1"/>
  <c r="G213" i="1" a="1"/>
  <c r="G213" i="1" s="1"/>
  <c r="G214" i="1" a="1"/>
  <c r="G214" i="1" s="1"/>
  <c r="H214" i="1" s="1"/>
  <c r="G215" i="1" a="1"/>
  <c r="G215" i="1" s="1"/>
  <c r="H215" i="1" s="1"/>
  <c r="G216" i="1" a="1"/>
  <c r="G216" i="1" s="1"/>
  <c r="H216" i="1" s="1"/>
  <c r="G217" i="1" a="1"/>
  <c r="G217" i="1" s="1"/>
  <c r="G218" i="1" a="1"/>
  <c r="G218" i="1"/>
  <c r="G219" i="1" a="1"/>
  <c r="G219" i="1" s="1"/>
  <c r="G220" i="1" a="1"/>
  <c r="G220" i="1" s="1"/>
  <c r="H220" i="1" s="1"/>
  <c r="G221" i="1" a="1"/>
  <c r="G221" i="1" s="1"/>
  <c r="H221" i="1" s="1"/>
  <c r="G222" i="1" a="1"/>
  <c r="G222" i="1" s="1"/>
  <c r="H222" i="1" s="1"/>
  <c r="G223" i="1" a="1"/>
  <c r="G223" i="1" s="1"/>
  <c r="G224" i="1" a="1"/>
  <c r="G224" i="1"/>
  <c r="G225" i="1" a="1"/>
  <c r="G225" i="1" s="1"/>
  <c r="G226" i="1" a="1"/>
  <c r="G226" i="1" s="1"/>
  <c r="H226" i="1" s="1"/>
  <c r="G227" i="1" a="1"/>
  <c r="G227" i="1" s="1"/>
  <c r="H227" i="1" s="1"/>
  <c r="G228" i="1" a="1"/>
  <c r="G228" i="1" s="1"/>
  <c r="G229" i="1" a="1"/>
  <c r="G229" i="1" s="1"/>
  <c r="G230" i="1" a="1"/>
  <c r="G230" i="1"/>
  <c r="G231" i="1" a="1"/>
  <c r="G231" i="1" s="1"/>
  <c r="G232" i="1" a="1"/>
  <c r="G232" i="1" s="1"/>
  <c r="H232" i="1" s="1"/>
  <c r="G233" i="1" a="1"/>
  <c r="G233" i="1" s="1"/>
  <c r="H233" i="1" s="1"/>
  <c r="G234" i="1" a="1"/>
  <c r="G234" i="1" s="1"/>
  <c r="H234" i="1" s="1"/>
  <c r="G235" i="1" a="1"/>
  <c r="G235" i="1" s="1"/>
  <c r="G236" i="1" a="1"/>
  <c r="G236" i="1"/>
  <c r="G237" i="1" a="1"/>
  <c r="G237" i="1" s="1"/>
  <c r="G238" i="1" a="1"/>
  <c r="G238" i="1" s="1"/>
  <c r="H238" i="1" s="1"/>
  <c r="G239" i="1" a="1"/>
  <c r="G239" i="1" s="1"/>
  <c r="H239" i="1" s="1"/>
  <c r="G240" i="1" a="1"/>
  <c r="G240" i="1" s="1"/>
  <c r="H240" i="1" s="1"/>
  <c r="G241" i="1" a="1"/>
  <c r="G241" i="1" s="1"/>
  <c r="G242" i="1" a="1"/>
  <c r="G242" i="1"/>
  <c r="G243" i="1" a="1"/>
  <c r="G243" i="1" s="1"/>
  <c r="G244" i="1" a="1"/>
  <c r="G244" i="1" s="1"/>
  <c r="H244" i="1" s="1"/>
  <c r="G245" i="1" a="1"/>
  <c r="G245" i="1" s="1"/>
  <c r="H245" i="1" s="1"/>
  <c r="G246" i="1" a="1"/>
  <c r="G246" i="1" s="1"/>
  <c r="H246" i="1" s="1"/>
  <c r="G247" i="1" a="1"/>
  <c r="G247" i="1" s="1"/>
  <c r="G248" i="1" a="1"/>
  <c r="G248" i="1"/>
  <c r="G249" i="1" a="1"/>
  <c r="G249" i="1" s="1"/>
  <c r="G250" i="1" a="1"/>
  <c r="G250" i="1" s="1"/>
  <c r="G251" i="1" a="1"/>
  <c r="G251" i="1" s="1"/>
  <c r="H251" i="1" s="1"/>
  <c r="G252" i="1" a="1"/>
  <c r="G252" i="1" s="1"/>
  <c r="H252" i="1" s="1"/>
  <c r="G253" i="1" a="1"/>
  <c r="G253" i="1" s="1"/>
  <c r="G254" i="1" a="1"/>
  <c r="G254" i="1"/>
  <c r="G255" i="1" a="1"/>
  <c r="G255" i="1" s="1"/>
  <c r="G256" i="1" a="1"/>
  <c r="G256" i="1" s="1"/>
  <c r="H256" i="1" s="1"/>
  <c r="G257" i="1" a="1"/>
  <c r="G257" i="1" s="1"/>
  <c r="H257" i="1" s="1"/>
  <c r="G258" i="1" a="1"/>
  <c r="G258" i="1" s="1"/>
  <c r="G259" i="1" a="1"/>
  <c r="G259" i="1" s="1"/>
  <c r="G260" i="1" a="1"/>
  <c r="G260" i="1"/>
  <c r="G261" i="1" a="1"/>
  <c r="G261" i="1" s="1"/>
  <c r="G262" i="1" a="1"/>
  <c r="G262" i="1" s="1"/>
  <c r="G263" i="1" a="1"/>
  <c r="G263" i="1" s="1"/>
  <c r="H263" i="1" s="1"/>
  <c r="G264" i="1" a="1"/>
  <c r="G264" i="1" s="1"/>
  <c r="H264" i="1" s="1"/>
  <c r="G265" i="1" a="1"/>
  <c r="G265" i="1" s="1"/>
  <c r="G266" i="1" a="1"/>
  <c r="G266" i="1"/>
  <c r="G267" i="1" a="1"/>
  <c r="G267" i="1" s="1"/>
  <c r="G268" i="1" a="1"/>
  <c r="G268" i="1" s="1"/>
  <c r="H268" i="1" s="1"/>
  <c r="G269" i="1" a="1"/>
  <c r="G269" i="1" s="1"/>
  <c r="H269" i="1" s="1"/>
  <c r="G270" i="1" a="1"/>
  <c r="G270" i="1" s="1"/>
  <c r="H270" i="1" s="1"/>
  <c r="G271" i="1" a="1"/>
  <c r="G271" i="1" s="1"/>
  <c r="G272" i="1" a="1"/>
  <c r="G272" i="1"/>
  <c r="G273" i="1" a="1"/>
  <c r="G273" i="1" s="1"/>
  <c r="G274" i="1" a="1"/>
  <c r="G274" i="1" s="1"/>
  <c r="H274" i="1" s="1"/>
  <c r="G275" i="1" a="1"/>
  <c r="G275" i="1" s="1"/>
  <c r="H275" i="1" s="1"/>
  <c r="G276" i="1" a="1"/>
  <c r="G276" i="1" s="1"/>
  <c r="H276" i="1" s="1"/>
  <c r="G277" i="1" a="1"/>
  <c r="G277" i="1" s="1"/>
  <c r="G278" i="1" a="1"/>
  <c r="G278" i="1"/>
  <c r="G279" i="1" a="1"/>
  <c r="G279" i="1" s="1"/>
  <c r="G280" i="1" a="1"/>
  <c r="G280" i="1" s="1"/>
  <c r="H280" i="1" s="1"/>
  <c r="G281" i="1" a="1"/>
  <c r="G281" i="1" s="1"/>
  <c r="H281" i="1" s="1"/>
  <c r="G282" i="1" a="1"/>
  <c r="G282" i="1" s="1"/>
  <c r="G283" i="1" a="1"/>
  <c r="G283" i="1" s="1"/>
  <c r="G284" i="1" a="1"/>
  <c r="G284" i="1"/>
  <c r="G285" i="1" a="1"/>
  <c r="G285" i="1" s="1"/>
  <c r="G286" i="1" a="1"/>
  <c r="G286" i="1" s="1"/>
  <c r="H286" i="1" s="1"/>
  <c r="G287" i="1" a="1"/>
  <c r="G287" i="1" s="1"/>
  <c r="H287" i="1" s="1"/>
  <c r="G288" i="1" a="1"/>
  <c r="G288" i="1" s="1"/>
  <c r="H288" i="1" s="1"/>
  <c r="G289" i="1" a="1"/>
  <c r="G289" i="1" s="1"/>
  <c r="G290" i="1" a="1"/>
  <c r="G290" i="1"/>
  <c r="G291" i="1" a="1"/>
  <c r="G291" i="1" s="1"/>
  <c r="G292" i="1" a="1"/>
  <c r="G292" i="1" s="1"/>
  <c r="H292" i="1" s="1"/>
  <c r="G293" i="1" a="1"/>
  <c r="G293" i="1" s="1"/>
  <c r="H293" i="1" s="1"/>
  <c r="G294" i="1" a="1"/>
  <c r="G294" i="1" s="1"/>
  <c r="H294" i="1" s="1"/>
  <c r="G295" i="1" a="1"/>
  <c r="G295" i="1" s="1"/>
  <c r="H295" i="1" s="1"/>
  <c r="G296" i="1" a="1"/>
  <c r="G296" i="1"/>
  <c r="G297" i="1" a="1"/>
  <c r="G297" i="1" s="1"/>
  <c r="G298" i="1" a="1"/>
  <c r="G298" i="1" s="1"/>
  <c r="H298" i="1" s="1"/>
  <c r="G299" i="1" a="1"/>
  <c r="G299" i="1" s="1"/>
  <c r="H299" i="1" s="1"/>
  <c r="G300" i="1" a="1"/>
  <c r="G300" i="1" s="1"/>
  <c r="G301" i="1" a="1"/>
  <c r="G301" i="1" s="1"/>
  <c r="G302" i="1" a="1"/>
  <c r="G302" i="1"/>
  <c r="H302" i="1" s="1"/>
  <c r="G303" i="1" a="1"/>
  <c r="G303" i="1" s="1"/>
  <c r="G304" i="1" a="1"/>
  <c r="G304" i="1" s="1"/>
  <c r="H304" i="1" s="1"/>
  <c r="G305" i="1" a="1"/>
  <c r="G305" i="1" s="1"/>
  <c r="H305" i="1" s="1"/>
  <c r="G306" i="1" a="1"/>
  <c r="G306" i="1" s="1"/>
  <c r="G307" i="1" a="1"/>
  <c r="G307" i="1" s="1"/>
  <c r="H307" i="1" s="1"/>
  <c r="G308" i="1" a="1"/>
  <c r="G308" i="1"/>
  <c r="G309" i="1" a="1"/>
  <c r="G309" i="1" s="1"/>
  <c r="G310" i="1" a="1"/>
  <c r="G310" i="1" s="1"/>
  <c r="G311" i="1" a="1"/>
  <c r="G311" i="1" s="1"/>
  <c r="H311" i="1" s="1"/>
  <c r="G312" i="1" a="1"/>
  <c r="G312" i="1" s="1"/>
  <c r="H312" i="1" s="1"/>
  <c r="G313" i="1" a="1"/>
  <c r="G313" i="1" s="1"/>
  <c r="G314" i="1" a="1"/>
  <c r="G314" i="1"/>
  <c r="H314" i="1" s="1"/>
  <c r="G315" i="1" a="1"/>
  <c r="G315" i="1" s="1"/>
  <c r="G316" i="1" a="1"/>
  <c r="G316" i="1" s="1"/>
  <c r="H316" i="1" s="1"/>
  <c r="G317" i="1" a="1"/>
  <c r="G317" i="1" s="1"/>
  <c r="H317" i="1" s="1"/>
  <c r="G318" i="1" a="1"/>
  <c r="G318" i="1" s="1"/>
  <c r="H318" i="1" s="1"/>
  <c r="G319" i="1" a="1"/>
  <c r="G319" i="1" s="1"/>
  <c r="H319" i="1" s="1"/>
  <c r="G320" i="1" a="1"/>
  <c r="G320" i="1"/>
  <c r="G321" i="1" a="1"/>
  <c r="G321" i="1" s="1"/>
  <c r="G322" i="1" a="1"/>
  <c r="G322" i="1" s="1"/>
  <c r="G323" i="1" a="1"/>
  <c r="G323" i="1" s="1"/>
  <c r="H323" i="1" s="1"/>
  <c r="G324" i="1" a="1"/>
  <c r="G324" i="1" s="1"/>
  <c r="G325" i="1" a="1"/>
  <c r="G325" i="1" s="1"/>
  <c r="G326" i="1" a="1"/>
  <c r="G326" i="1"/>
  <c r="G327" i="1" a="1"/>
  <c r="G327" i="1" s="1"/>
  <c r="G328" i="1" a="1"/>
  <c r="G328" i="1" s="1"/>
  <c r="H328" i="1" s="1"/>
  <c r="G329" i="1" a="1"/>
  <c r="G329" i="1" s="1"/>
  <c r="H329" i="1" s="1"/>
  <c r="G330" i="1" a="1"/>
  <c r="G330" i="1" s="1"/>
  <c r="G331" i="1" a="1"/>
  <c r="G331" i="1" s="1"/>
  <c r="H331" i="1" s="1"/>
  <c r="G332" i="1" a="1"/>
  <c r="G332" i="1"/>
  <c r="G333" i="1" a="1"/>
  <c r="G333" i="1" s="1"/>
  <c r="G334" i="1" a="1"/>
  <c r="G334" i="1" s="1"/>
  <c r="G335" i="1" a="1"/>
  <c r="G335" i="1" s="1"/>
  <c r="H335" i="1" s="1"/>
  <c r="G336" i="1" a="1"/>
  <c r="G336" i="1" s="1"/>
  <c r="G337" i="1" a="1"/>
  <c r="G337" i="1" s="1"/>
  <c r="G338" i="1" a="1"/>
  <c r="G338" i="1"/>
  <c r="H338" i="1" s="1"/>
  <c r="G339" i="1" a="1"/>
  <c r="G339" i="1" s="1"/>
  <c r="G340" i="1" a="1"/>
  <c r="G340" i="1" s="1"/>
  <c r="H340" i="1" s="1"/>
  <c r="G341" i="1" a="1"/>
  <c r="G341" i="1" s="1"/>
  <c r="H341" i="1" s="1"/>
  <c r="G342" i="1" a="1"/>
  <c r="G342" i="1" s="1"/>
  <c r="G343" i="1" a="1"/>
  <c r="G343" i="1" s="1"/>
  <c r="H343" i="1" s="1"/>
  <c r="G344" i="1" a="1"/>
  <c r="G344" i="1"/>
  <c r="G345" i="1" a="1"/>
  <c r="G345" i="1" s="1"/>
  <c r="G346" i="1" a="1"/>
  <c r="G346" i="1" s="1"/>
  <c r="G347" i="1" a="1"/>
  <c r="G347" i="1" s="1"/>
  <c r="H347" i="1" s="1"/>
  <c r="G348" i="1" a="1"/>
  <c r="G348" i="1" s="1"/>
  <c r="G349" i="1" a="1"/>
  <c r="G349" i="1" s="1"/>
  <c r="G350" i="1" a="1"/>
  <c r="G350" i="1"/>
  <c r="H350" i="1" s="1"/>
  <c r="G351" i="1" a="1"/>
  <c r="G351" i="1" s="1"/>
  <c r="G352" i="1" a="1"/>
  <c r="G352" i="1" s="1"/>
  <c r="H352" i="1" s="1"/>
  <c r="G353" i="1" a="1"/>
  <c r="G353" i="1" s="1"/>
  <c r="H353" i="1" s="1"/>
  <c r="G354" i="1" a="1"/>
  <c r="G354" i="1" s="1"/>
  <c r="G355" i="1" a="1"/>
  <c r="G355" i="1" s="1"/>
  <c r="H355" i="1" s="1"/>
  <c r="G356" i="1" a="1"/>
  <c r="G356" i="1"/>
  <c r="G357" i="1" a="1"/>
  <c r="G357" i="1" s="1"/>
  <c r="G358" i="1" a="1"/>
  <c r="G358" i="1" s="1"/>
  <c r="H358" i="1" s="1"/>
  <c r="G359" i="1" a="1"/>
  <c r="G359" i="1" s="1"/>
  <c r="H359" i="1" s="1"/>
  <c r="G360" i="1" a="1"/>
  <c r="G360" i="1" s="1"/>
  <c r="H360" i="1" s="1"/>
  <c r="G361" i="1" a="1"/>
  <c r="G361" i="1" s="1"/>
  <c r="G362" i="1" a="1"/>
  <c r="G362" i="1"/>
  <c r="H362" i="1" s="1"/>
  <c r="G363" i="1" a="1"/>
  <c r="G363" i="1" s="1"/>
  <c r="G364" i="1" a="1"/>
  <c r="G364" i="1" s="1"/>
  <c r="H364" i="1" s="1"/>
  <c r="G365" i="1" a="1"/>
  <c r="G365" i="1" s="1"/>
  <c r="H365" i="1" s="1"/>
  <c r="G366" i="1" a="1"/>
  <c r="G366" i="1" s="1"/>
  <c r="H366" i="1" s="1"/>
  <c r="G367" i="1" a="1"/>
  <c r="G367" i="1" s="1"/>
  <c r="H367" i="1" s="1"/>
  <c r="G368" i="1" a="1"/>
  <c r="G368" i="1"/>
  <c r="G369" i="1" a="1"/>
  <c r="G369" i="1" s="1"/>
  <c r="G370" i="1" a="1"/>
  <c r="G370" i="1" s="1"/>
  <c r="H370" i="1" s="1"/>
  <c r="G371" i="1" a="1"/>
  <c r="G371" i="1" s="1"/>
  <c r="H371" i="1" s="1"/>
  <c r="G372" i="1" a="1"/>
  <c r="G372" i="1" s="1"/>
  <c r="G373" i="1" a="1"/>
  <c r="G373" i="1" s="1"/>
  <c r="G374" i="1" a="1"/>
  <c r="G374" i="1"/>
  <c r="H374" i="1" s="1"/>
  <c r="G375" i="1" a="1"/>
  <c r="G375" i="1" s="1"/>
  <c r="G376" i="1" a="1"/>
  <c r="G376" i="1" s="1"/>
  <c r="H376" i="1" s="1"/>
  <c r="G377" i="1" a="1"/>
  <c r="G377" i="1" s="1"/>
  <c r="H377" i="1" s="1"/>
  <c r="G378" i="1" a="1"/>
  <c r="G378" i="1" s="1"/>
  <c r="G379" i="1" a="1"/>
  <c r="G379" i="1" s="1"/>
  <c r="H379" i="1" s="1"/>
  <c r="G380" i="1" a="1"/>
  <c r="G380" i="1"/>
  <c r="G381" i="1" a="1"/>
  <c r="G381" i="1" s="1"/>
  <c r="G382" i="1" a="1"/>
  <c r="G382" i="1" s="1"/>
  <c r="G383" i="1" a="1"/>
  <c r="G383" i="1" s="1"/>
  <c r="H383" i="1" s="1"/>
  <c r="G384" i="1" a="1"/>
  <c r="G384" i="1" s="1"/>
  <c r="H384" i="1" s="1"/>
  <c r="G385" i="1" a="1"/>
  <c r="G385" i="1" s="1"/>
  <c r="G386" i="1" a="1"/>
  <c r="G386" i="1"/>
  <c r="H386" i="1" s="1"/>
  <c r="G387" i="1" a="1"/>
  <c r="G387" i="1" s="1"/>
  <c r="G388" i="1" a="1"/>
  <c r="G388" i="1" s="1"/>
  <c r="H388" i="1" s="1"/>
  <c r="G389" i="1" a="1"/>
  <c r="G389" i="1" s="1"/>
  <c r="H389" i="1" s="1"/>
  <c r="G390" i="1" a="1"/>
  <c r="G390" i="1" s="1"/>
  <c r="H390" i="1" s="1"/>
  <c r="G391" i="1" a="1"/>
  <c r="G391" i="1" s="1"/>
  <c r="H391" i="1" s="1"/>
  <c r="G392" i="1" a="1"/>
  <c r="G392" i="1"/>
  <c r="G393" i="1" a="1"/>
  <c r="G393" i="1" s="1"/>
  <c r="G394" i="1" a="1"/>
  <c r="G394" i="1" s="1"/>
  <c r="G395" i="1" a="1"/>
  <c r="G395" i="1" s="1"/>
  <c r="H395" i="1" s="1"/>
  <c r="G396" i="1" a="1"/>
  <c r="G396" i="1" s="1"/>
  <c r="G397" i="1" a="1"/>
  <c r="G397" i="1" s="1"/>
  <c r="G398" i="1" a="1"/>
  <c r="G398" i="1"/>
  <c r="H398" i="1" s="1"/>
  <c r="G399" i="1" a="1"/>
  <c r="G399" i="1" s="1"/>
  <c r="G400" i="1" a="1"/>
  <c r="G400" i="1" s="1"/>
  <c r="H400" i="1" s="1"/>
  <c r="G401" i="1" a="1"/>
  <c r="G401" i="1" s="1"/>
  <c r="H401" i="1" s="1"/>
  <c r="G402" i="1" a="1"/>
  <c r="G402" i="1" s="1"/>
  <c r="G403" i="1" a="1"/>
  <c r="G403" i="1" s="1"/>
  <c r="H403" i="1" s="1"/>
  <c r="G404" i="1" a="1"/>
  <c r="G404" i="1"/>
  <c r="G405" i="1" a="1"/>
  <c r="G405" i="1" s="1"/>
  <c r="G406" i="1" a="1"/>
  <c r="G406" i="1" s="1"/>
  <c r="G407" i="1" a="1"/>
  <c r="G407" i="1" s="1"/>
  <c r="H407" i="1" s="1"/>
  <c r="G408" i="1" a="1"/>
  <c r="G408" i="1" s="1"/>
  <c r="H408" i="1" s="1"/>
  <c r="G409" i="1" a="1"/>
  <c r="G409" i="1" s="1"/>
  <c r="G410" i="1" a="1"/>
  <c r="G410" i="1"/>
  <c r="H410" i="1" s="1"/>
  <c r="G411" i="1" a="1"/>
  <c r="G411" i="1" s="1"/>
  <c r="G412" i="1" a="1"/>
  <c r="G412" i="1" s="1"/>
  <c r="H412" i="1" s="1"/>
  <c r="G413" i="1" a="1"/>
  <c r="G413" i="1" s="1"/>
  <c r="H413" i="1" s="1"/>
  <c r="G414" i="1" a="1"/>
  <c r="G414" i="1" s="1"/>
  <c r="G415" i="1" a="1"/>
  <c r="G415" i="1" s="1"/>
  <c r="H415" i="1" s="1"/>
  <c r="G416" i="1" a="1"/>
  <c r="G416" i="1"/>
  <c r="G417" i="1" a="1"/>
  <c r="G417" i="1" s="1"/>
  <c r="G418" i="1" a="1"/>
  <c r="G418" i="1" s="1"/>
  <c r="G419" i="1" a="1"/>
  <c r="G419" i="1" s="1"/>
  <c r="H419" i="1" s="1"/>
  <c r="G420" i="1" a="1"/>
  <c r="G420" i="1" s="1"/>
  <c r="H420" i="1" s="1"/>
  <c r="G421" i="1" a="1"/>
  <c r="G421" i="1" s="1"/>
  <c r="G422" i="1" a="1"/>
  <c r="G422" i="1"/>
  <c r="H422" i="1" s="1"/>
  <c r="G423" i="1" a="1"/>
  <c r="G423" i="1" s="1"/>
  <c r="G424" i="1" a="1"/>
  <c r="G424" i="1" s="1"/>
  <c r="H424" i="1" s="1"/>
  <c r="G425" i="1" a="1"/>
  <c r="G425" i="1" s="1"/>
  <c r="H425" i="1" s="1"/>
  <c r="G426" i="1" a="1"/>
  <c r="G426" i="1" s="1"/>
  <c r="G427" i="1" a="1"/>
  <c r="G427" i="1" s="1"/>
  <c r="H427" i="1" s="1"/>
  <c r="G428" i="1" a="1"/>
  <c r="G428" i="1"/>
  <c r="G429" i="1" a="1"/>
  <c r="G429" i="1" s="1"/>
  <c r="G430" i="1" a="1"/>
  <c r="G430" i="1" s="1"/>
  <c r="H430" i="1" s="1"/>
  <c r="G431" i="1" a="1"/>
  <c r="G431" i="1" s="1"/>
  <c r="H431" i="1" s="1"/>
  <c r="G432" i="1" a="1"/>
  <c r="G432" i="1" s="1"/>
  <c r="H432" i="1" s="1"/>
  <c r="G433" i="1" a="1"/>
  <c r="G433" i="1" s="1"/>
  <c r="G434" i="1" a="1"/>
  <c r="G434" i="1"/>
  <c r="H434" i="1" s="1"/>
  <c r="G435" i="1" a="1"/>
  <c r="G435" i="1" s="1"/>
  <c r="G436" i="1" a="1"/>
  <c r="G436" i="1" s="1"/>
  <c r="H436" i="1" s="1"/>
  <c r="G437" i="1" a="1"/>
  <c r="G437" i="1" s="1"/>
  <c r="H437" i="1" s="1"/>
  <c r="G438" i="1" a="1"/>
  <c r="G438" i="1" s="1"/>
  <c r="H438" i="1" s="1"/>
  <c r="G439" i="1" a="1"/>
  <c r="G439" i="1" s="1"/>
  <c r="H439" i="1" s="1"/>
  <c r="G440" i="1" a="1"/>
  <c r="G440" i="1"/>
  <c r="G441" i="1" a="1"/>
  <c r="G441" i="1" s="1"/>
  <c r="G442" i="1" a="1"/>
  <c r="G442" i="1" s="1"/>
  <c r="H442" i="1" s="1"/>
  <c r="G443" i="1" a="1"/>
  <c r="G443" i="1" s="1"/>
  <c r="H443" i="1" s="1"/>
  <c r="G444" i="1" a="1"/>
  <c r="G444" i="1" s="1"/>
  <c r="G445" i="1" a="1"/>
  <c r="G445" i="1" s="1"/>
  <c r="G446" i="1" a="1"/>
  <c r="G446" i="1"/>
  <c r="H446" i="1" s="1"/>
  <c r="G447" i="1" a="1"/>
  <c r="G447" i="1" s="1"/>
  <c r="G448" i="1" a="1"/>
  <c r="G448" i="1" s="1"/>
  <c r="H448" i="1" s="1"/>
  <c r="G449" i="1" a="1"/>
  <c r="G449" i="1" s="1"/>
  <c r="H449" i="1" s="1"/>
  <c r="G450" i="1" a="1"/>
  <c r="G450" i="1" s="1"/>
  <c r="G451" i="1" a="1"/>
  <c r="G451" i="1" s="1"/>
  <c r="H451" i="1" s="1"/>
  <c r="G452" i="1" a="1"/>
  <c r="G452" i="1"/>
  <c r="G453" i="1" a="1"/>
  <c r="G453" i="1" s="1"/>
  <c r="G454" i="1" a="1"/>
  <c r="G454" i="1" s="1"/>
  <c r="G455" i="1" a="1"/>
  <c r="G455" i="1" s="1"/>
  <c r="H455" i="1" s="1"/>
  <c r="G456" i="1" a="1"/>
  <c r="G456" i="1" s="1"/>
  <c r="H456" i="1" s="1"/>
  <c r="G457" i="1" a="1"/>
  <c r="G457" i="1" s="1"/>
  <c r="G458" i="1" a="1"/>
  <c r="G458" i="1"/>
  <c r="H458" i="1" s="1"/>
  <c r="G459" i="1" a="1"/>
  <c r="G459" i="1" s="1"/>
  <c r="G460" i="1" a="1"/>
  <c r="G460" i="1" s="1"/>
  <c r="H460" i="1" s="1"/>
  <c r="G461" i="1" a="1"/>
  <c r="G461" i="1" s="1"/>
  <c r="H461" i="1" s="1"/>
  <c r="G462" i="1" a="1"/>
  <c r="G462" i="1" s="1"/>
  <c r="H462" i="1" s="1"/>
  <c r="G463" i="1" a="1"/>
  <c r="G463" i="1" s="1"/>
  <c r="H463" i="1" s="1"/>
  <c r="G464" i="1" a="1"/>
  <c r="G464" i="1"/>
  <c r="G465" i="1" a="1"/>
  <c r="G465" i="1" s="1"/>
  <c r="G466" i="1" a="1"/>
  <c r="G466" i="1" s="1"/>
  <c r="G467" i="1" a="1"/>
  <c r="G467" i="1" s="1"/>
  <c r="H467" i="1" s="1"/>
  <c r="G468" i="1" a="1"/>
  <c r="G468" i="1" s="1"/>
  <c r="G469" i="1" a="1"/>
  <c r="G469" i="1" s="1"/>
  <c r="G470" i="1" a="1"/>
  <c r="G470" i="1"/>
  <c r="H470" i="1" s="1"/>
  <c r="G471" i="1" a="1"/>
  <c r="G471" i="1" s="1"/>
  <c r="G472" i="1" a="1"/>
  <c r="G472" i="1" s="1"/>
  <c r="H472" i="1" s="1"/>
  <c r="G473" i="1" a="1"/>
  <c r="G473" i="1" s="1"/>
  <c r="H473" i="1" s="1"/>
  <c r="G474" i="1" a="1"/>
  <c r="G474" i="1" s="1"/>
  <c r="G475" i="1" a="1"/>
  <c r="G475" i="1" s="1"/>
  <c r="H475" i="1" s="1"/>
  <c r="G476" i="1" a="1"/>
  <c r="G476" i="1"/>
  <c r="G477" i="1" a="1"/>
  <c r="G477" i="1" s="1"/>
  <c r="G478" i="1" a="1"/>
  <c r="G478" i="1" s="1"/>
  <c r="G479" i="1" a="1"/>
  <c r="G479" i="1" s="1"/>
  <c r="H479" i="1" s="1"/>
  <c r="G480" i="1" a="1"/>
  <c r="G480" i="1" s="1"/>
  <c r="H480" i="1" s="1"/>
  <c r="G481" i="1" a="1"/>
  <c r="G481" i="1" s="1"/>
  <c r="H481" i="1" s="1"/>
  <c r="G482" i="1" a="1"/>
  <c r="G482" i="1"/>
  <c r="H482" i="1" s="1"/>
  <c r="G483" i="1" a="1"/>
  <c r="G483" i="1" s="1"/>
  <c r="G484" i="1" a="1"/>
  <c r="G484" i="1" s="1"/>
  <c r="H484" i="1" s="1"/>
  <c r="G485" i="1" a="1"/>
  <c r="G485" i="1" s="1"/>
  <c r="G486" i="1" a="1"/>
  <c r="G486" i="1" s="1"/>
  <c r="H486" i="1" s="1"/>
  <c r="G487" i="1" a="1"/>
  <c r="G487" i="1" s="1"/>
  <c r="H487" i="1" s="1"/>
  <c r="G488" i="1" a="1"/>
  <c r="G488" i="1"/>
  <c r="G489" i="1" a="1"/>
  <c r="G489" i="1" s="1"/>
  <c r="G490" i="1" a="1"/>
  <c r="G490" i="1" s="1"/>
  <c r="H490" i="1" s="1"/>
  <c r="G491" i="1" a="1"/>
  <c r="G491" i="1" s="1"/>
  <c r="G492" i="1" a="1"/>
  <c r="G492" i="1" s="1"/>
  <c r="H492" i="1" s="1"/>
  <c r="G493" i="1" a="1"/>
  <c r="G493" i="1" s="1"/>
  <c r="G494" i="1" a="1"/>
  <c r="G494" i="1"/>
  <c r="H494" i="1" s="1"/>
  <c r="G495" i="1" a="1"/>
  <c r="G495" i="1" s="1"/>
  <c r="G496" i="1" a="1"/>
  <c r="G496" i="1" s="1"/>
  <c r="H496" i="1" s="1"/>
  <c r="G497" i="1" a="1"/>
  <c r="G497" i="1" s="1"/>
  <c r="G498" i="1" a="1"/>
  <c r="G498" i="1" s="1"/>
  <c r="H498" i="1" s="1"/>
  <c r="G499" i="1" a="1"/>
  <c r="G499" i="1" s="1"/>
  <c r="H499" i="1" s="1"/>
  <c r="G500" i="1" a="1"/>
  <c r="G500" i="1"/>
  <c r="H500" i="1" s="1"/>
  <c r="G501" i="1" a="1"/>
  <c r="G501" i="1" s="1"/>
  <c r="H501" i="1" s="1"/>
  <c r="G502" i="1" a="1"/>
  <c r="G502" i="1" s="1"/>
  <c r="H502" i="1" s="1"/>
  <c r="G503" i="1" a="1"/>
  <c r="G503" i="1" s="1"/>
  <c r="H503" i="1" s="1"/>
  <c r="G504" i="1" a="1"/>
  <c r="G504" i="1" s="1"/>
  <c r="H504" i="1" s="1"/>
  <c r="G505" i="1" a="1"/>
  <c r="G505" i="1" s="1"/>
  <c r="G506" i="1" a="1"/>
  <c r="G506" i="1"/>
  <c r="H506" i="1" s="1"/>
  <c r="G507" i="1" a="1"/>
  <c r="G507" i="1" s="1"/>
  <c r="G508" i="1" a="1"/>
  <c r="G508" i="1" s="1"/>
  <c r="G509" i="1" a="1"/>
  <c r="G509" i="1" s="1"/>
  <c r="H509" i="1" s="1"/>
  <c r="G510" i="1" a="1"/>
  <c r="G510" i="1" s="1"/>
  <c r="G511" i="1" a="1"/>
  <c r="G511" i="1" s="1"/>
  <c r="H511" i="1" s="1"/>
  <c r="G512" i="1" a="1"/>
  <c r="G512" i="1"/>
  <c r="H512" i="1" s="1"/>
  <c r="G513" i="1" a="1"/>
  <c r="G513" i="1"/>
  <c r="H513" i="1" s="1"/>
  <c r="G514" i="1" a="1"/>
  <c r="G514" i="1"/>
  <c r="H514" i="1" s="1"/>
  <c r="G515" i="1" a="1"/>
  <c r="G515" i="1"/>
  <c r="H515" i="1" s="1"/>
  <c r="G516" i="1" a="1"/>
  <c r="G516" i="1"/>
  <c r="G517" i="1" a="1"/>
  <c r="G517" i="1"/>
  <c r="H517" i="1" s="1"/>
  <c r="G518" i="1" a="1"/>
  <c r="G518" i="1"/>
  <c r="H518" i="1" s="1"/>
  <c r="G2" i="1" a="1"/>
  <c r="G2" i="1"/>
  <c r="H16" i="1"/>
  <c r="H84" i="1"/>
  <c r="H108" i="1"/>
  <c r="H120" i="1"/>
  <c r="H156" i="1"/>
  <c r="H180" i="1"/>
  <c r="H228" i="1"/>
  <c r="H300" i="1"/>
  <c r="H324" i="1"/>
  <c r="H336" i="1"/>
  <c r="H348" i="1"/>
  <c r="H372" i="1"/>
  <c r="H396" i="1"/>
  <c r="H444" i="1"/>
  <c r="H468" i="1"/>
  <c r="H478" i="1"/>
  <c r="H485" i="1"/>
  <c r="H491" i="1"/>
  <c r="H493" i="1"/>
  <c r="H505" i="1"/>
  <c r="H508" i="1"/>
  <c r="H516" i="1"/>
  <c r="H2" i="1"/>
  <c r="H3" i="1"/>
  <c r="H4" i="1"/>
  <c r="H5" i="1"/>
  <c r="H7" i="1"/>
  <c r="H9" i="1"/>
  <c r="H11" i="1"/>
  <c r="H13" i="1"/>
  <c r="H14" i="1"/>
  <c r="H15" i="1"/>
  <c r="H19" i="1"/>
  <c r="H20" i="1"/>
  <c r="H21" i="1"/>
  <c r="H25" i="1"/>
  <c r="H26" i="1"/>
  <c r="H27" i="1"/>
  <c r="H31" i="1"/>
  <c r="H33" i="1"/>
  <c r="H35" i="1"/>
  <c r="H37" i="1"/>
  <c r="H38" i="1"/>
  <c r="H39" i="1"/>
  <c r="H42" i="1"/>
  <c r="H43" i="1"/>
  <c r="H44" i="1"/>
  <c r="H45" i="1"/>
  <c r="H46" i="1"/>
  <c r="H49" i="1"/>
  <c r="H50" i="1"/>
  <c r="H51" i="1"/>
  <c r="H54" i="1"/>
  <c r="H55" i="1"/>
  <c r="H56" i="1"/>
  <c r="H57" i="1"/>
  <c r="H58" i="1"/>
  <c r="H61" i="1"/>
  <c r="H62" i="1"/>
  <c r="H63" i="1"/>
  <c r="H67" i="1"/>
  <c r="H68" i="1"/>
  <c r="H69" i="1"/>
  <c r="H73" i="1"/>
  <c r="H74" i="1"/>
  <c r="H75" i="1"/>
  <c r="H78" i="1"/>
  <c r="H79" i="1"/>
  <c r="H80" i="1"/>
  <c r="H81" i="1"/>
  <c r="H85" i="1"/>
  <c r="H86" i="1"/>
  <c r="H87" i="1"/>
  <c r="H91" i="1"/>
  <c r="H92" i="1"/>
  <c r="H93" i="1"/>
  <c r="H97" i="1"/>
  <c r="H98" i="1"/>
  <c r="H99" i="1"/>
  <c r="H102" i="1"/>
  <c r="H103" i="1"/>
  <c r="H104" i="1"/>
  <c r="H105" i="1"/>
  <c r="H106" i="1"/>
  <c r="H109" i="1"/>
  <c r="H110" i="1"/>
  <c r="H111" i="1"/>
  <c r="H114" i="1"/>
  <c r="H115" i="1"/>
  <c r="H116" i="1"/>
  <c r="H117" i="1"/>
  <c r="H118" i="1"/>
  <c r="H121" i="1"/>
  <c r="H122" i="1"/>
  <c r="H123" i="1"/>
  <c r="H126" i="1"/>
  <c r="H127" i="1"/>
  <c r="H128" i="1"/>
  <c r="H129" i="1"/>
  <c r="H130" i="1"/>
  <c r="H133" i="1"/>
  <c r="H134" i="1"/>
  <c r="H135" i="1"/>
  <c r="H139" i="1"/>
  <c r="H140" i="1"/>
  <c r="H141" i="1"/>
  <c r="H145" i="1"/>
  <c r="H146" i="1"/>
  <c r="H147" i="1"/>
  <c r="H150" i="1"/>
  <c r="H151" i="1"/>
  <c r="H152" i="1"/>
  <c r="H153" i="1"/>
  <c r="H157" i="1"/>
  <c r="H158" i="1"/>
  <c r="H159" i="1"/>
  <c r="H163" i="1"/>
  <c r="H164" i="1"/>
  <c r="H165" i="1"/>
  <c r="H169" i="1"/>
  <c r="H170" i="1"/>
  <c r="H171" i="1"/>
  <c r="H175" i="1"/>
  <c r="H176" i="1"/>
  <c r="H177" i="1"/>
  <c r="H178" i="1"/>
  <c r="H181" i="1"/>
  <c r="H182" i="1"/>
  <c r="H183" i="1"/>
  <c r="H186" i="1"/>
  <c r="H187" i="1"/>
  <c r="H188" i="1"/>
  <c r="H189" i="1"/>
  <c r="H190" i="1"/>
  <c r="H193" i="1"/>
  <c r="H194" i="1"/>
  <c r="H195" i="1"/>
  <c r="H199" i="1"/>
  <c r="H200" i="1"/>
  <c r="H201" i="1"/>
  <c r="H205" i="1"/>
  <c r="H206" i="1"/>
  <c r="H207" i="1"/>
  <c r="H211" i="1"/>
  <c r="H212" i="1"/>
  <c r="H213" i="1"/>
  <c r="H217" i="1"/>
  <c r="H218" i="1"/>
  <c r="H219" i="1"/>
  <c r="H223" i="1"/>
  <c r="H224" i="1"/>
  <c r="H225" i="1"/>
  <c r="H229" i="1"/>
  <c r="H230" i="1"/>
  <c r="H231" i="1"/>
  <c r="H235" i="1"/>
  <c r="H236" i="1"/>
  <c r="H237" i="1"/>
  <c r="H241" i="1"/>
  <c r="H242" i="1"/>
  <c r="H243" i="1"/>
  <c r="H247" i="1"/>
  <c r="H248" i="1"/>
  <c r="H249" i="1"/>
  <c r="H250" i="1"/>
  <c r="H253" i="1"/>
  <c r="H254" i="1"/>
  <c r="H255" i="1"/>
  <c r="H258" i="1"/>
  <c r="H259" i="1"/>
  <c r="H260" i="1"/>
  <c r="H261" i="1"/>
  <c r="H262" i="1"/>
  <c r="H265" i="1"/>
  <c r="H266" i="1"/>
  <c r="H267" i="1"/>
  <c r="H271" i="1"/>
  <c r="H272" i="1"/>
  <c r="H273" i="1"/>
  <c r="H277" i="1"/>
  <c r="H278" i="1"/>
  <c r="H279" i="1"/>
  <c r="H282" i="1"/>
  <c r="H283" i="1"/>
  <c r="H284" i="1"/>
  <c r="H285" i="1"/>
  <c r="H289" i="1"/>
  <c r="H290" i="1"/>
  <c r="H291" i="1"/>
  <c r="H296" i="1"/>
  <c r="H297" i="1"/>
  <c r="H301" i="1"/>
  <c r="H303" i="1"/>
  <c r="H306" i="1"/>
  <c r="H308" i="1"/>
  <c r="H309" i="1"/>
  <c r="H310" i="1"/>
  <c r="H313" i="1"/>
  <c r="H315" i="1"/>
  <c r="H320" i="1"/>
  <c r="H321" i="1"/>
  <c r="H322" i="1"/>
  <c r="H325" i="1"/>
  <c r="H326" i="1"/>
  <c r="H327" i="1"/>
  <c r="H330" i="1"/>
  <c r="H332" i="1"/>
  <c r="H333" i="1"/>
  <c r="H334" i="1"/>
  <c r="H337" i="1"/>
  <c r="H339" i="1"/>
  <c r="H342" i="1"/>
  <c r="H344" i="1"/>
  <c r="H345" i="1"/>
  <c r="H346" i="1"/>
  <c r="H349" i="1"/>
  <c r="H351" i="1"/>
  <c r="H354" i="1"/>
  <c r="H356" i="1"/>
  <c r="H357" i="1"/>
  <c r="H361" i="1"/>
  <c r="H363" i="1"/>
  <c r="H368" i="1"/>
  <c r="H369" i="1"/>
  <c r="H373" i="1"/>
  <c r="H375" i="1"/>
  <c r="H378" i="1"/>
  <c r="H380" i="1"/>
  <c r="H381" i="1"/>
  <c r="H382" i="1"/>
  <c r="H385" i="1"/>
  <c r="H387" i="1"/>
  <c r="H392" i="1"/>
  <c r="H393" i="1"/>
  <c r="H394" i="1"/>
  <c r="H397" i="1"/>
  <c r="H399" i="1"/>
  <c r="H402" i="1"/>
  <c r="H404" i="1"/>
  <c r="H405" i="1"/>
  <c r="H406" i="1"/>
  <c r="H409" i="1"/>
  <c r="H411" i="1"/>
  <c r="H414" i="1"/>
  <c r="H416" i="1"/>
  <c r="H417" i="1"/>
  <c r="H418" i="1"/>
  <c r="H421" i="1"/>
  <c r="H423" i="1"/>
  <c r="H426" i="1"/>
  <c r="H428" i="1"/>
  <c r="H429" i="1"/>
  <c r="H433" i="1"/>
  <c r="H435" i="1"/>
  <c r="H440" i="1"/>
  <c r="H441" i="1"/>
  <c r="H445" i="1"/>
  <c r="H447" i="1"/>
  <c r="H450" i="1"/>
  <c r="H452" i="1"/>
  <c r="H453" i="1"/>
  <c r="H454" i="1"/>
  <c r="H457" i="1"/>
  <c r="H459" i="1"/>
  <c r="H464" i="1"/>
  <c r="H465" i="1"/>
  <c r="H466" i="1"/>
  <c r="H469" i="1"/>
  <c r="H471" i="1"/>
  <c r="H474" i="1"/>
  <c r="H476" i="1"/>
  <c r="H477" i="1"/>
  <c r="H483" i="1"/>
  <c r="H488" i="1"/>
  <c r="H489" i="1"/>
  <c r="H495" i="1"/>
  <c r="H497" i="1"/>
  <c r="H507" i="1"/>
  <c r="H510" i="1"/>
  <c r="M518" i="1"/>
  <c r="M516" i="1"/>
  <c r="M514" i="1"/>
  <c r="M513" i="1"/>
  <c r="M512" i="1"/>
  <c r="M511" i="1"/>
  <c r="M510" i="1"/>
  <c r="M509" i="1"/>
  <c r="M508" i="1"/>
  <c r="M507" i="1"/>
  <c r="M506" i="1"/>
  <c r="M505" i="1"/>
  <c r="M503" i="1"/>
  <c r="M502" i="1"/>
  <c r="M501" i="1"/>
  <c r="M500" i="1"/>
  <c r="M499" i="1"/>
  <c r="M498" i="1"/>
  <c r="M497" i="1"/>
  <c r="M496" i="1"/>
  <c r="M495" i="1"/>
  <c r="M493" i="1"/>
  <c r="M489" i="1"/>
  <c r="M488" i="1"/>
  <c r="M487" i="1"/>
  <c r="M486" i="1"/>
  <c r="M485" i="1"/>
  <c r="M484" i="1"/>
  <c r="M483" i="1"/>
  <c r="M482" i="1"/>
  <c r="M478" i="1"/>
  <c r="M477" i="1"/>
  <c r="M476" i="1"/>
  <c r="M475" i="1"/>
  <c r="M474" i="1"/>
  <c r="M473" i="1"/>
  <c r="M472" i="1"/>
  <c r="M471" i="1"/>
  <c r="M469" i="1"/>
  <c r="M468" i="1"/>
  <c r="M466" i="1"/>
  <c r="M465" i="1"/>
  <c r="M464" i="1"/>
  <c r="M463" i="1"/>
  <c r="M462" i="1"/>
  <c r="M461" i="1"/>
  <c r="M460" i="1"/>
  <c r="M459" i="1"/>
  <c r="M458" i="1"/>
  <c r="M457" i="1"/>
  <c r="M454" i="1"/>
  <c r="M451" i="1"/>
  <c r="M450" i="1"/>
  <c r="M449" i="1"/>
  <c r="M448" i="1"/>
  <c r="M447" i="1"/>
  <c r="M446" i="1"/>
  <c r="M445" i="1"/>
  <c r="M442" i="1"/>
  <c r="M441" i="1"/>
  <c r="M440" i="1"/>
  <c r="M439" i="1"/>
  <c r="M438" i="1"/>
  <c r="M437" i="1"/>
  <c r="M436" i="1"/>
  <c r="M435" i="1"/>
  <c r="M433" i="1"/>
  <c r="M430" i="1"/>
  <c r="M429" i="1"/>
  <c r="M428" i="1"/>
  <c r="M427" i="1"/>
  <c r="M426" i="1"/>
  <c r="M425" i="1"/>
  <c r="M424" i="1"/>
  <c r="M423" i="1"/>
  <c r="M421" i="1"/>
  <c r="M419" i="1"/>
  <c r="M418" i="1"/>
  <c r="M417" i="1"/>
  <c r="M416" i="1"/>
  <c r="M415" i="1"/>
  <c r="M414" i="1"/>
  <c r="M413" i="1"/>
  <c r="M412" i="1"/>
  <c r="M411" i="1"/>
  <c r="M410" i="1"/>
  <c r="M409" i="1"/>
  <c r="M406" i="1"/>
  <c r="M404" i="1"/>
  <c r="M403" i="1"/>
  <c r="M402" i="1"/>
  <c r="M401" i="1"/>
  <c r="M400" i="1"/>
  <c r="M399" i="1"/>
  <c r="M397" i="1"/>
  <c r="M394" i="1"/>
  <c r="M393" i="1"/>
  <c r="M392" i="1"/>
  <c r="M391" i="1"/>
  <c r="M390" i="1"/>
  <c r="M389" i="1"/>
  <c r="M388" i="1"/>
  <c r="M387" i="1"/>
  <c r="M386" i="1"/>
  <c r="M385" i="1"/>
  <c r="M382" i="1"/>
  <c r="M381" i="1"/>
  <c r="M380" i="1"/>
  <c r="M379" i="1"/>
  <c r="M378" i="1"/>
  <c r="M377" i="1"/>
  <c r="M376" i="1"/>
  <c r="M375" i="1"/>
  <c r="M374" i="1"/>
  <c r="M373" i="1"/>
  <c r="M372" i="1"/>
  <c r="M370" i="1"/>
  <c r="M369" i="1"/>
  <c r="M368" i="1"/>
  <c r="M367" i="1"/>
  <c r="M366" i="1"/>
  <c r="M365" i="1"/>
  <c r="M364" i="1"/>
  <c r="M363" i="1"/>
  <c r="M362" i="1"/>
  <c r="M358" i="1"/>
  <c r="M356" i="1"/>
  <c r="M355" i="1"/>
  <c r="M354" i="1"/>
  <c r="M353" i="1"/>
  <c r="M352" i="1"/>
  <c r="M351" i="1"/>
  <c r="M350" i="1"/>
  <c r="M349" i="1"/>
  <c r="M348" i="1"/>
  <c r="M346" i="1"/>
  <c r="M345" i="1"/>
  <c r="M344" i="1"/>
  <c r="M343" i="1"/>
  <c r="M342" i="1"/>
  <c r="M341" i="1"/>
  <c r="M340" i="1"/>
  <c r="M339" i="1"/>
  <c r="M338" i="1"/>
  <c r="M337" i="1"/>
  <c r="M334" i="1"/>
  <c r="M332" i="1"/>
  <c r="M331" i="1"/>
  <c r="M330" i="1"/>
  <c r="M329" i="1"/>
  <c r="M328" i="1"/>
  <c r="M327" i="1"/>
  <c r="M322" i="1"/>
  <c r="M517" i="1"/>
  <c r="M515" i="1"/>
  <c r="M504" i="1"/>
  <c r="M494" i="1"/>
  <c r="M492" i="1"/>
  <c r="M491" i="1"/>
  <c r="M490" i="1"/>
  <c r="M481" i="1"/>
  <c r="M480" i="1"/>
  <c r="M479" i="1"/>
  <c r="M470" i="1"/>
  <c r="M467" i="1"/>
  <c r="M456" i="1"/>
  <c r="M455" i="1"/>
  <c r="M453" i="1"/>
  <c r="M452" i="1"/>
  <c r="M444" i="1"/>
  <c r="M443" i="1"/>
  <c r="M434" i="1"/>
  <c r="M432" i="1"/>
  <c r="M431" i="1"/>
  <c r="M422" i="1"/>
  <c r="M420" i="1"/>
  <c r="M408" i="1"/>
  <c r="M407" i="1"/>
  <c r="M405" i="1"/>
  <c r="M398" i="1"/>
  <c r="M396" i="1"/>
  <c r="M395" i="1"/>
  <c r="M384" i="1"/>
  <c r="M383" i="1"/>
  <c r="M371" i="1"/>
  <c r="M361" i="1"/>
  <c r="M360" i="1"/>
  <c r="M359" i="1"/>
  <c r="M357" i="1"/>
  <c r="M347" i="1"/>
  <c r="M336" i="1"/>
  <c r="M335" i="1"/>
  <c r="M333" i="1"/>
  <c r="M326" i="1"/>
  <c r="M325" i="1"/>
  <c r="M324" i="1"/>
  <c r="M323" i="1"/>
  <c r="M314" i="1"/>
  <c r="Z72" i="1"/>
  <c r="AA72" i="1" s="1"/>
  <c r="AB72" i="1" s="1"/>
  <c r="Z73" i="1"/>
  <c r="AA73" i="1" s="1"/>
  <c r="AB73" i="1" s="1"/>
  <c r="Z74" i="1"/>
  <c r="AA74" i="1" s="1"/>
  <c r="Z75" i="1"/>
  <c r="AA75" i="1" s="1"/>
  <c r="AB75" i="1" s="1"/>
  <c r="AC75" i="1" s="1"/>
  <c r="Z76" i="1"/>
  <c r="AA76" i="1" s="1"/>
  <c r="Z77" i="1"/>
  <c r="AA77" i="1" s="1"/>
  <c r="Z78" i="1"/>
  <c r="AA78" i="1" s="1"/>
  <c r="AB78" i="1" s="1"/>
  <c r="Z79" i="1"/>
  <c r="AA79" i="1" s="1"/>
  <c r="AB79" i="1" s="1"/>
  <c r="Z80" i="1"/>
  <c r="AA80" i="1" s="1"/>
  <c r="AB80" i="1" s="1"/>
  <c r="AC80" i="1" s="1"/>
  <c r="Z81" i="1"/>
  <c r="AA81" i="1" s="1"/>
  <c r="Z82" i="1"/>
  <c r="AA82" i="1" s="1"/>
  <c r="AB82" i="1" s="1"/>
  <c r="Z83" i="1"/>
  <c r="AA83" i="1" s="1"/>
  <c r="Z84" i="1"/>
  <c r="AA84" i="1" s="1"/>
  <c r="AB84" i="1" s="1"/>
  <c r="Z85" i="1"/>
  <c r="AA85" i="1" s="1"/>
  <c r="AB85" i="1" s="1"/>
  <c r="AC85" i="1" s="1"/>
  <c r="Z86" i="1"/>
  <c r="AA86" i="1" s="1"/>
  <c r="AB86" i="1" s="1"/>
  <c r="Z87" i="1"/>
  <c r="AA87" i="1" s="1"/>
  <c r="AB87" i="1" s="1"/>
  <c r="AD87" i="1" s="1"/>
  <c r="AE87" i="1" s="1"/>
  <c r="Z88" i="1"/>
  <c r="AA88" i="1" s="1"/>
  <c r="Z89" i="1"/>
  <c r="AA89" i="1" s="1"/>
  <c r="Z90" i="1"/>
  <c r="AA90" i="1" s="1"/>
  <c r="AB90" i="1" s="1"/>
  <c r="Z91" i="1"/>
  <c r="AA91" i="1" s="1"/>
  <c r="AB91" i="1" s="1"/>
  <c r="AD91" i="1" s="1"/>
  <c r="Z92" i="1"/>
  <c r="AA92" i="1" s="1"/>
  <c r="AB92" i="1" s="1"/>
  <c r="Z93" i="1"/>
  <c r="AA93" i="1" s="1"/>
  <c r="AB93" i="1" s="1"/>
  <c r="Z94" i="1"/>
  <c r="AA94" i="1" s="1"/>
  <c r="Z95" i="1"/>
  <c r="AA95" i="1" s="1"/>
  <c r="AB95" i="1" s="1"/>
  <c r="Z96" i="1"/>
  <c r="AA96" i="1" s="1"/>
  <c r="AB96" i="1" s="1"/>
  <c r="Z97" i="1"/>
  <c r="Z98" i="1"/>
  <c r="AA98" i="1" s="1"/>
  <c r="AB98" i="1" s="1"/>
  <c r="AC98" i="1" s="1"/>
  <c r="Z99" i="1"/>
  <c r="AA99" i="1" s="1"/>
  <c r="AB99" i="1" s="1"/>
  <c r="AC99" i="1" s="1"/>
  <c r="Z100" i="1"/>
  <c r="Z101" i="1"/>
  <c r="Z102" i="1"/>
  <c r="AA102" i="1" s="1"/>
  <c r="AB102" i="1" s="1"/>
  <c r="AC102" i="1" s="1"/>
  <c r="Z103" i="1"/>
  <c r="AA103" i="1" s="1"/>
  <c r="Z104" i="1"/>
  <c r="AA104" i="1" s="1"/>
  <c r="AB104" i="1" s="1"/>
  <c r="AD104" i="1" s="1"/>
  <c r="Z105" i="1"/>
  <c r="AA105" i="1" s="1"/>
  <c r="AB105" i="1" s="1"/>
  <c r="AC105" i="1" s="1"/>
  <c r="Z106" i="1"/>
  <c r="AA106" i="1" s="1"/>
  <c r="AB106" i="1" s="1"/>
  <c r="Z107" i="1"/>
  <c r="AA107" i="1" s="1"/>
  <c r="Z108" i="1"/>
  <c r="AA108" i="1" s="1"/>
  <c r="AB108" i="1" s="1"/>
  <c r="AC108" i="1" s="1"/>
  <c r="Z109" i="1"/>
  <c r="AA109" i="1" s="1"/>
  <c r="Z110" i="1"/>
  <c r="AA110" i="1" s="1"/>
  <c r="AB110" i="1" s="1"/>
  <c r="Z111" i="1"/>
  <c r="Z112" i="1"/>
  <c r="Z113" i="1"/>
  <c r="AA113" i="1" s="1"/>
  <c r="AB113" i="1" s="1"/>
  <c r="AD113" i="1" s="1"/>
  <c r="Z114" i="1"/>
  <c r="AA114" i="1" s="1"/>
  <c r="AB114" i="1" s="1"/>
  <c r="Z115" i="1"/>
  <c r="Z116" i="1"/>
  <c r="AA116" i="1" s="1"/>
  <c r="Z117" i="1"/>
  <c r="AA117" i="1" s="1"/>
  <c r="Z118" i="1"/>
  <c r="AA118" i="1" s="1"/>
  <c r="Z119" i="1"/>
  <c r="AA119" i="1" s="1"/>
  <c r="AB119" i="1" s="1"/>
  <c r="Z120" i="1"/>
  <c r="AA120" i="1" s="1"/>
  <c r="AB120" i="1" s="1"/>
  <c r="AC120" i="1" s="1"/>
  <c r="Z121" i="1"/>
  <c r="Z122" i="1"/>
  <c r="AA122" i="1" s="1"/>
  <c r="Z123" i="1"/>
  <c r="AA123" i="1" s="1"/>
  <c r="AB123" i="1" s="1"/>
  <c r="AC123" i="1" s="1"/>
  <c r="Z124" i="1"/>
  <c r="AA124" i="1" s="1"/>
  <c r="AB124" i="1" s="1"/>
  <c r="Z125" i="1"/>
  <c r="Z126" i="1"/>
  <c r="Z127" i="1"/>
  <c r="Z128" i="1"/>
  <c r="Z129" i="1"/>
  <c r="AA129" i="1" s="1"/>
  <c r="Z130" i="1"/>
  <c r="AA130" i="1" s="1"/>
  <c r="AB130" i="1" s="1"/>
  <c r="Z131" i="1"/>
  <c r="AA131" i="1" s="1"/>
  <c r="AB131" i="1" s="1"/>
  <c r="AD131" i="1" s="1"/>
  <c r="Z132" i="1"/>
  <c r="AA132" i="1" s="1"/>
  <c r="AB132" i="1" s="1"/>
  <c r="Z133" i="1"/>
  <c r="AA133" i="1" s="1"/>
  <c r="AB133" i="1" s="1"/>
  <c r="AC133" i="1" s="1"/>
  <c r="Z134" i="1"/>
  <c r="AA134" i="1" s="1"/>
  <c r="AB134" i="1" s="1"/>
  <c r="AC134" i="1" s="1"/>
  <c r="Z135" i="1"/>
  <c r="AA135" i="1" s="1"/>
  <c r="AB135" i="1" s="1"/>
  <c r="Z136" i="1"/>
  <c r="Z137" i="1"/>
  <c r="AA137" i="1" s="1"/>
  <c r="AB137" i="1" s="1"/>
  <c r="Z138" i="1"/>
  <c r="AA138" i="1" s="1"/>
  <c r="AB138" i="1" s="1"/>
  <c r="AD138" i="1" s="1"/>
  <c r="Z139" i="1"/>
  <c r="AA139" i="1" s="1"/>
  <c r="AB139" i="1" s="1"/>
  <c r="Z140" i="1"/>
  <c r="AA140" i="1" s="1"/>
  <c r="Z142" i="1"/>
  <c r="AA142" i="1" s="1"/>
  <c r="AB142" i="1" s="1"/>
  <c r="Z143" i="1"/>
  <c r="AA143" i="1" s="1"/>
  <c r="AB143" i="1" s="1"/>
  <c r="Z145" i="1"/>
  <c r="Z147" i="1"/>
  <c r="AA147" i="1" s="1"/>
  <c r="AB147" i="1" s="1"/>
  <c r="AC147" i="1" s="1"/>
  <c r="Z149" i="1"/>
  <c r="AA149" i="1" s="1"/>
  <c r="Z150" i="1"/>
  <c r="AA150" i="1" s="1"/>
  <c r="AB150" i="1" s="1"/>
  <c r="Z151" i="1"/>
  <c r="Z152" i="1"/>
  <c r="Z154" i="1"/>
  <c r="AA154" i="1" s="1"/>
  <c r="AB154" i="1" s="1"/>
  <c r="Z155" i="1"/>
  <c r="AA155" i="1" s="1"/>
  <c r="AB155" i="1" s="1"/>
  <c r="Z156" i="1"/>
  <c r="AA156" i="1" s="1"/>
  <c r="AB156" i="1" s="1"/>
  <c r="Z157" i="1"/>
  <c r="AA157" i="1" s="1"/>
  <c r="AB157" i="1" s="1"/>
  <c r="Z158" i="1"/>
  <c r="AA158" i="1" s="1"/>
  <c r="AB158" i="1" s="1"/>
  <c r="AD158" i="1" s="1"/>
  <c r="Z159" i="1"/>
  <c r="AA159" i="1" s="1"/>
  <c r="AB159" i="1" s="1"/>
  <c r="AC159" i="1" s="1"/>
  <c r="Z160" i="1"/>
  <c r="AA160" i="1" s="1"/>
  <c r="AB160" i="1" s="1"/>
  <c r="Z161" i="1"/>
  <c r="AA161" i="1" s="1"/>
  <c r="Z162" i="1"/>
  <c r="AA162" i="1" s="1"/>
  <c r="AB162" i="1" s="1"/>
  <c r="Z163" i="1"/>
  <c r="AA163" i="1" s="1"/>
  <c r="AB163" i="1" s="1"/>
  <c r="AC163" i="1" s="1"/>
  <c r="Z164" i="1"/>
  <c r="AA164" i="1" s="1"/>
  <c r="AB164" i="1" s="1"/>
  <c r="AD164" i="1" s="1"/>
  <c r="Z165" i="1"/>
  <c r="AA165" i="1" s="1"/>
  <c r="AB165" i="1" s="1"/>
  <c r="AD165" i="1" s="1"/>
  <c r="Z166" i="1"/>
  <c r="AA166" i="1" s="1"/>
  <c r="Z167" i="1"/>
  <c r="AA167" i="1" s="1"/>
  <c r="AB167" i="1" s="1"/>
  <c r="Z168" i="1"/>
  <c r="AA168" i="1" s="1"/>
  <c r="AB168" i="1" s="1"/>
  <c r="AD168" i="1" s="1"/>
  <c r="Z169" i="1"/>
  <c r="AA169" i="1" s="1"/>
  <c r="AB169" i="1" s="1"/>
  <c r="Z170" i="1"/>
  <c r="AA170" i="1" s="1"/>
  <c r="Z171" i="1"/>
  <c r="AA171" i="1" s="1"/>
  <c r="AB171" i="1" s="1"/>
  <c r="AD171" i="1" s="1"/>
  <c r="Z172" i="1"/>
  <c r="Z173" i="1"/>
  <c r="AA173" i="1" s="1"/>
  <c r="AB173" i="1" s="1"/>
  <c r="Z174" i="1"/>
  <c r="AA174" i="1" s="1"/>
  <c r="AB174" i="1" s="1"/>
  <c r="Z175" i="1"/>
  <c r="AA175" i="1" s="1"/>
  <c r="Z176" i="1"/>
  <c r="AA176" i="1" s="1"/>
  <c r="AB176" i="1" s="1"/>
  <c r="Z177" i="1"/>
  <c r="Z178" i="1"/>
  <c r="AA178" i="1" s="1"/>
  <c r="AB178" i="1" s="1"/>
  <c r="Z179" i="1"/>
  <c r="AA179" i="1" s="1"/>
  <c r="AB179" i="1" s="1"/>
  <c r="Z180" i="1"/>
  <c r="AA180" i="1" s="1"/>
  <c r="AB180" i="1" s="1"/>
  <c r="AD180" i="1" s="1"/>
  <c r="Z181" i="1"/>
  <c r="Z182" i="1"/>
  <c r="AA182" i="1" s="1"/>
  <c r="AB182" i="1" s="1"/>
  <c r="Z183" i="1"/>
  <c r="AA183" i="1" s="1"/>
  <c r="AB183" i="1" s="1"/>
  <c r="Z184" i="1"/>
  <c r="AA184" i="1" s="1"/>
  <c r="AB184" i="1" s="1"/>
  <c r="Z185" i="1"/>
  <c r="AA185" i="1" s="1"/>
  <c r="Z186" i="1"/>
  <c r="AA186" i="1" s="1"/>
  <c r="AB186" i="1" s="1"/>
  <c r="Z187" i="1"/>
  <c r="Z188" i="1"/>
  <c r="Z189" i="1"/>
  <c r="AA189" i="1" s="1"/>
  <c r="AB189" i="1" s="1"/>
  <c r="AC189" i="1" s="1"/>
  <c r="Z190" i="1"/>
  <c r="AA190" i="1" s="1"/>
  <c r="Z191" i="1"/>
  <c r="AA191" i="1" s="1"/>
  <c r="Z192" i="1"/>
  <c r="Z193" i="1"/>
  <c r="AA193" i="1" s="1"/>
  <c r="AB193" i="1" s="1"/>
  <c r="AC193" i="1" s="1"/>
  <c r="Z194" i="1"/>
  <c r="AA194" i="1" s="1"/>
  <c r="AB194" i="1" s="1"/>
  <c r="AC194" i="1" s="1"/>
  <c r="Z195" i="1"/>
  <c r="Z196" i="1"/>
  <c r="AA196" i="1" s="1"/>
  <c r="AB196" i="1" s="1"/>
  <c r="AC196" i="1" s="1"/>
  <c r="Z197" i="1"/>
  <c r="AA197" i="1" s="1"/>
  <c r="AB197" i="1" s="1"/>
  <c r="Z198" i="1"/>
  <c r="AA198" i="1" s="1"/>
  <c r="AB198" i="1" s="1"/>
  <c r="AC198" i="1" s="1"/>
  <c r="Z199" i="1"/>
  <c r="Z200" i="1"/>
  <c r="AA200" i="1" s="1"/>
  <c r="AB200" i="1" s="1"/>
  <c r="AC200" i="1" s="1"/>
  <c r="Z201" i="1"/>
  <c r="AA201" i="1" s="1"/>
  <c r="Z202" i="1"/>
  <c r="AA202" i="1" s="1"/>
  <c r="Z203" i="1"/>
  <c r="AA203" i="1" s="1"/>
  <c r="AB203" i="1" s="1"/>
  <c r="Z205" i="1"/>
  <c r="AA205" i="1" s="1"/>
  <c r="AB205" i="1" s="1"/>
  <c r="AC205" i="1" s="1"/>
  <c r="Z206" i="1"/>
  <c r="AA206" i="1" s="1"/>
  <c r="AB206" i="1" s="1"/>
  <c r="AD206" i="1" s="1"/>
  <c r="Z207" i="1"/>
  <c r="Z209" i="1"/>
  <c r="Z210" i="1"/>
  <c r="AA210" i="1" s="1"/>
  <c r="Z219" i="1"/>
  <c r="AA219" i="1" s="1"/>
  <c r="Z223" i="1"/>
  <c r="Z227" i="1"/>
  <c r="AA227" i="1" s="1"/>
  <c r="AB227" i="1" s="1"/>
  <c r="Z228" i="1"/>
  <c r="AA228" i="1" s="1"/>
  <c r="AB228" i="1" s="1"/>
  <c r="Z229" i="1"/>
  <c r="AA229" i="1" s="1"/>
  <c r="AB229" i="1" s="1"/>
  <c r="AD229" i="1" s="1"/>
  <c r="Z246" i="1"/>
  <c r="Z247" i="1"/>
  <c r="AA247" i="1" s="1"/>
  <c r="Z248" i="1"/>
  <c r="AA248" i="1" s="1"/>
  <c r="AB248" i="1" s="1"/>
  <c r="AC248" i="1" s="1"/>
  <c r="Z249" i="1"/>
  <c r="AA249" i="1" s="1"/>
  <c r="AB249" i="1" s="1"/>
  <c r="AC249" i="1" s="1"/>
  <c r="Z264" i="1"/>
  <c r="AA264" i="1" s="1"/>
  <c r="AB264" i="1" s="1"/>
  <c r="Z268" i="1"/>
  <c r="AA268" i="1" s="1"/>
  <c r="AB268" i="1" s="1"/>
  <c r="Z269" i="1"/>
  <c r="AA269" i="1" s="1"/>
  <c r="AB269" i="1" s="1"/>
  <c r="Z270" i="1"/>
  <c r="AA270" i="1" s="1"/>
  <c r="AB270" i="1" s="1"/>
  <c r="AD270" i="1" s="1"/>
  <c r="Z271" i="1"/>
  <c r="AA271" i="1" s="1"/>
  <c r="AB271" i="1" s="1"/>
  <c r="AC271" i="1" s="1"/>
  <c r="Z272" i="1"/>
  <c r="AA272" i="1" s="1"/>
  <c r="AB272" i="1" s="1"/>
  <c r="AC272" i="1" s="1"/>
  <c r="Z273" i="1"/>
  <c r="AA273" i="1" s="1"/>
  <c r="AB273" i="1" s="1"/>
  <c r="Z277" i="1"/>
  <c r="AA277" i="1" s="1"/>
  <c r="AB277" i="1" s="1"/>
  <c r="Z278" i="1"/>
  <c r="AA278" i="1" s="1"/>
  <c r="AB278" i="1" s="1"/>
  <c r="Z279" i="1"/>
  <c r="AA279" i="1" s="1"/>
  <c r="AB279" i="1" s="1"/>
  <c r="AC279" i="1" s="1"/>
  <c r="Z280" i="1"/>
  <c r="AA280" i="1" s="1"/>
  <c r="AB280" i="1" s="1"/>
  <c r="Z281" i="1"/>
  <c r="AA281" i="1" s="1"/>
  <c r="AB281" i="1" s="1"/>
  <c r="AC281" i="1" s="1"/>
  <c r="Z282" i="1"/>
  <c r="Z283" i="1"/>
  <c r="AA283" i="1" s="1"/>
  <c r="AB283" i="1" s="1"/>
  <c r="AC283" i="1" s="1"/>
  <c r="Z284" i="1"/>
  <c r="AA284" i="1" s="1"/>
  <c r="AB284" i="1" s="1"/>
  <c r="Z285" i="1"/>
  <c r="AA285" i="1" s="1"/>
  <c r="AB285" i="1" s="1"/>
  <c r="Z286" i="1"/>
  <c r="AA286" i="1" s="1"/>
  <c r="AB286" i="1" s="1"/>
  <c r="Z287" i="1"/>
  <c r="AA287" i="1" s="1"/>
  <c r="AB287" i="1" s="1"/>
  <c r="AC287" i="1" s="1"/>
  <c r="Z288" i="1"/>
  <c r="AA288" i="1" s="1"/>
  <c r="AB288" i="1" s="1"/>
  <c r="AC288" i="1" s="1"/>
  <c r="Z289" i="1"/>
  <c r="AA289" i="1" s="1"/>
  <c r="AB289" i="1" s="1"/>
  <c r="AC289" i="1" s="1"/>
  <c r="Z290" i="1"/>
  <c r="AA290" i="1" s="1"/>
  <c r="AB290" i="1" s="1"/>
  <c r="Z291" i="1"/>
  <c r="AA291" i="1" s="1"/>
  <c r="AB291" i="1" s="1"/>
  <c r="Z292" i="1"/>
  <c r="AA292" i="1" s="1"/>
  <c r="AB292" i="1" s="1"/>
  <c r="AC292" i="1" s="1"/>
  <c r="Z294" i="1"/>
  <c r="AA294" i="1" s="1"/>
  <c r="AB294" i="1" s="1"/>
  <c r="AC294" i="1" s="1"/>
  <c r="Z295" i="1"/>
  <c r="AA295" i="1" s="1"/>
  <c r="AB295" i="1" s="1"/>
  <c r="AC295" i="1" s="1"/>
  <c r="Z296" i="1"/>
  <c r="AA296" i="1" s="1"/>
  <c r="AB296" i="1" s="1"/>
  <c r="AC296" i="1" s="1"/>
  <c r="Z297" i="1"/>
  <c r="AA297" i="1" s="1"/>
  <c r="AB297" i="1" s="1"/>
  <c r="Z298" i="1"/>
  <c r="AA298" i="1" s="1"/>
  <c r="AB298" i="1" s="1"/>
  <c r="Z299" i="1"/>
  <c r="AA299" i="1" s="1"/>
  <c r="AB299" i="1" s="1"/>
  <c r="AC299" i="1" s="1"/>
  <c r="Z300" i="1"/>
  <c r="AA300" i="1" s="1"/>
  <c r="AB300" i="1" s="1"/>
  <c r="AC300" i="1" s="1"/>
  <c r="Z301" i="1"/>
  <c r="AA301" i="1" s="1"/>
  <c r="AB301" i="1" s="1"/>
  <c r="AC301" i="1" s="1"/>
  <c r="Z302" i="1"/>
  <c r="AA302" i="1" s="1"/>
  <c r="AB302" i="1" s="1"/>
  <c r="Z303" i="1"/>
  <c r="AA303" i="1" s="1"/>
  <c r="AB303" i="1" s="1"/>
  <c r="AC303" i="1" s="1"/>
  <c r="Z304" i="1"/>
  <c r="AA304" i="1" s="1"/>
  <c r="AB304" i="1" s="1"/>
  <c r="AC304" i="1" s="1"/>
  <c r="Z305" i="1"/>
  <c r="AA305" i="1" s="1"/>
  <c r="AB305" i="1" s="1"/>
  <c r="AC305" i="1" s="1"/>
  <c r="Z306" i="1"/>
  <c r="AA306" i="1" s="1"/>
  <c r="AB306" i="1" s="1"/>
  <c r="AC306" i="1" s="1"/>
  <c r="Z307" i="1"/>
  <c r="AA307" i="1" s="1"/>
  <c r="AB307" i="1" s="1"/>
  <c r="AC307" i="1" s="1"/>
  <c r="Z308" i="1"/>
  <c r="AA308" i="1" s="1"/>
  <c r="AB308" i="1" s="1"/>
  <c r="AD308" i="1" s="1"/>
  <c r="Z309" i="1"/>
  <c r="AA309" i="1" s="1"/>
  <c r="AB309" i="1" s="1"/>
  <c r="Z310" i="1"/>
  <c r="AA310" i="1" s="1"/>
  <c r="AB310" i="1" s="1"/>
  <c r="AD310" i="1" s="1"/>
  <c r="Z311" i="1"/>
  <c r="AA311" i="1" s="1"/>
  <c r="Z312" i="1"/>
  <c r="AA312" i="1" s="1"/>
  <c r="AB312" i="1" s="1"/>
  <c r="Z313" i="1"/>
  <c r="AA313" i="1" s="1"/>
  <c r="AB313" i="1" s="1"/>
  <c r="AC313" i="1" s="1"/>
  <c r="Z314" i="1"/>
  <c r="AA314" i="1" s="1"/>
  <c r="AB314" i="1" s="1"/>
  <c r="Z315" i="1"/>
  <c r="AA315" i="1" s="1"/>
  <c r="AB315" i="1" s="1"/>
  <c r="AC315" i="1" s="1"/>
  <c r="Z316" i="1"/>
  <c r="AA316" i="1" s="1"/>
  <c r="AB316" i="1" s="1"/>
  <c r="AC316" i="1" s="1"/>
  <c r="Z317" i="1"/>
  <c r="AA317" i="1" s="1"/>
  <c r="AB317" i="1" s="1"/>
  <c r="Z322" i="1"/>
  <c r="AA322" i="1" s="1"/>
  <c r="AB322" i="1" s="1"/>
  <c r="Z323" i="1"/>
  <c r="AA323" i="1" s="1"/>
  <c r="Z324" i="1"/>
  <c r="AA324" i="1" s="1"/>
  <c r="AB324" i="1" s="1"/>
  <c r="Z325" i="1"/>
  <c r="AA325" i="1" s="1"/>
  <c r="AB325" i="1" s="1"/>
  <c r="AC325" i="1" s="1"/>
  <c r="Z326" i="1"/>
  <c r="Z327" i="1"/>
  <c r="AA327" i="1" s="1"/>
  <c r="AB327" i="1" s="1"/>
  <c r="Z328" i="1"/>
  <c r="AA328" i="1" s="1"/>
  <c r="AB328" i="1" s="1"/>
  <c r="AC328" i="1" s="1"/>
  <c r="Z329" i="1"/>
  <c r="AA329" i="1" s="1"/>
  <c r="AB329" i="1" s="1"/>
  <c r="Z330" i="1"/>
  <c r="AA330" i="1" s="1"/>
  <c r="AB330" i="1" s="1"/>
  <c r="Z331" i="1"/>
  <c r="AA331" i="1" s="1"/>
  <c r="AB331" i="1" s="1"/>
  <c r="AC331" i="1" s="1"/>
  <c r="Z332" i="1"/>
  <c r="AA332" i="1" s="1"/>
  <c r="AB332" i="1" s="1"/>
  <c r="AD332" i="1" s="1"/>
  <c r="Z333" i="1"/>
  <c r="AA333" i="1" s="1"/>
  <c r="AB333" i="1" s="1"/>
  <c r="Z334" i="1"/>
  <c r="AA334" i="1" s="1"/>
  <c r="AB334" i="1" s="1"/>
  <c r="AC334" i="1" s="1"/>
  <c r="Z335" i="1"/>
  <c r="AA335" i="1" s="1"/>
  <c r="AB335" i="1" s="1"/>
  <c r="AC335" i="1" s="1"/>
  <c r="Z336" i="1"/>
  <c r="AA336" i="1" s="1"/>
  <c r="AB336" i="1" s="1"/>
  <c r="Z337" i="1"/>
  <c r="AA337" i="1" s="1"/>
  <c r="AB337" i="1" s="1"/>
  <c r="AC337" i="1" s="1"/>
  <c r="Z338" i="1"/>
  <c r="AA338" i="1" s="1"/>
  <c r="AB338" i="1" s="1"/>
  <c r="Z372" i="1" l="1"/>
  <c r="AA372" i="1" s="1"/>
  <c r="AB372" i="1" s="1"/>
  <c r="Z384" i="1"/>
  <c r="AA384" i="1" s="1"/>
  <c r="AB384" i="1" s="1"/>
  <c r="Z390" i="1"/>
  <c r="AA390" i="1" s="1"/>
  <c r="AB390" i="1" s="1"/>
  <c r="Z434" i="1"/>
  <c r="AA434" i="1" s="1"/>
  <c r="AB434" i="1" s="1"/>
  <c r="AC434" i="1" s="1"/>
  <c r="Z456" i="1"/>
  <c r="AA456" i="1" s="1"/>
  <c r="AB456" i="1" s="1"/>
  <c r="AD456" i="1" s="1"/>
  <c r="Z469" i="1"/>
  <c r="AA469" i="1" s="1"/>
  <c r="AB469" i="1" s="1"/>
  <c r="AD469" i="1" s="1"/>
  <c r="Z481" i="1"/>
  <c r="AA481" i="1" s="1"/>
  <c r="AB481" i="1" s="1"/>
  <c r="Z487" i="1"/>
  <c r="AA487" i="1" s="1"/>
  <c r="AB487" i="1" s="1"/>
  <c r="Z349" i="1"/>
  <c r="AA349" i="1" s="1"/>
  <c r="AB349" i="1" s="1"/>
  <c r="AC349" i="1" s="1"/>
  <c r="Z361" i="1"/>
  <c r="AA361" i="1" s="1"/>
  <c r="AB361" i="1" s="1"/>
  <c r="Z367" i="1"/>
  <c r="AA367" i="1" s="1"/>
  <c r="AB367" i="1" s="1"/>
  <c r="AC367" i="1" s="1"/>
  <c r="Z373" i="1"/>
  <c r="AA373" i="1" s="1"/>
  <c r="AB373" i="1" s="1"/>
  <c r="AD373" i="1" s="1"/>
  <c r="Z410" i="1"/>
  <c r="AA410" i="1" s="1"/>
  <c r="AB410" i="1" s="1"/>
  <c r="AD410" i="1" s="1"/>
  <c r="Z416" i="1"/>
  <c r="AA416" i="1" s="1"/>
  <c r="AB416" i="1" s="1"/>
  <c r="Z423" i="1"/>
  <c r="AA423" i="1" s="1"/>
  <c r="AB423" i="1" s="1"/>
  <c r="AD423" i="1" s="1"/>
  <c r="Z429" i="1"/>
  <c r="AA429" i="1" s="1"/>
  <c r="AB429" i="1" s="1"/>
  <c r="AD429" i="1" s="1"/>
  <c r="Z435" i="1"/>
  <c r="AA435" i="1" s="1"/>
  <c r="AB435" i="1" s="1"/>
  <c r="AD435" i="1" s="1"/>
  <c r="Z441" i="1"/>
  <c r="AA441" i="1" s="1"/>
  <c r="AB441" i="1" s="1"/>
  <c r="Z476" i="1"/>
  <c r="AA476" i="1" s="1"/>
  <c r="AB476" i="1" s="1"/>
  <c r="AD476" i="1" s="1"/>
  <c r="Z500" i="1"/>
  <c r="AA500" i="1" s="1"/>
  <c r="AB500" i="1" s="1"/>
  <c r="AC500" i="1" s="1"/>
  <c r="Z506" i="1"/>
  <c r="AA506" i="1" s="1"/>
  <c r="AB506" i="1" s="1"/>
  <c r="AD506" i="1" s="1"/>
  <c r="AE506" i="1" s="1"/>
  <c r="Z515" i="1"/>
  <c r="AA515" i="1" s="1"/>
  <c r="AB515" i="1" s="1"/>
  <c r="AC515" i="1" s="1"/>
  <c r="Z381" i="1"/>
  <c r="AA381" i="1" s="1"/>
  <c r="AB381" i="1" s="1"/>
  <c r="AD381" i="1" s="1"/>
  <c r="Z238" i="1"/>
  <c r="AA238" i="1" s="1"/>
  <c r="AB238" i="1" s="1"/>
  <c r="AC238" i="1" s="1"/>
  <c r="Z350" i="1"/>
  <c r="AA350" i="1" s="1"/>
  <c r="AB350" i="1" s="1"/>
  <c r="Z362" i="1"/>
  <c r="AA362" i="1" s="1"/>
  <c r="AB362" i="1" s="1"/>
  <c r="AC362" i="1" s="1"/>
  <c r="Z518" i="1"/>
  <c r="AA518" i="1" s="1"/>
  <c r="AB518" i="1" s="1"/>
  <c r="Z16" i="1"/>
  <c r="AA16" i="1" s="1"/>
  <c r="AB16" i="1" s="1"/>
  <c r="Z259" i="1"/>
  <c r="AA259" i="1" s="1"/>
  <c r="AB259" i="1" s="1"/>
  <c r="Z339" i="1"/>
  <c r="AA339" i="1" s="1"/>
  <c r="AB339" i="1" s="1"/>
  <c r="AC339" i="1" s="1"/>
  <c r="Z411" i="1"/>
  <c r="AA411" i="1" s="1"/>
  <c r="AB411" i="1" s="1"/>
  <c r="Z459" i="1"/>
  <c r="AA459" i="1" s="1"/>
  <c r="AB459" i="1" s="1"/>
  <c r="AD459" i="1" s="1"/>
  <c r="Z507" i="1"/>
  <c r="AA507" i="1" s="1"/>
  <c r="AB507" i="1" s="1"/>
  <c r="AC507" i="1" s="1"/>
  <c r="Z17" i="1"/>
  <c r="AA17" i="1" s="1"/>
  <c r="AB17" i="1" s="1"/>
  <c r="Z65" i="1"/>
  <c r="AA65" i="1" s="1"/>
  <c r="AB65" i="1" s="1"/>
  <c r="AD65" i="1" s="1"/>
  <c r="AE65" i="1" s="1"/>
  <c r="Z240" i="1"/>
  <c r="AA240" i="1" s="1"/>
  <c r="AB240" i="1" s="1"/>
  <c r="AC240" i="1" s="1"/>
  <c r="Z412" i="1"/>
  <c r="AA412" i="1" s="1"/>
  <c r="AB412" i="1" s="1"/>
  <c r="Z472" i="1"/>
  <c r="AA472" i="1" s="1"/>
  <c r="AB472" i="1" s="1"/>
  <c r="AC472" i="1" s="1"/>
  <c r="Z508" i="1"/>
  <c r="AA508" i="1" s="1"/>
  <c r="AB508" i="1" s="1"/>
  <c r="Z18" i="1"/>
  <c r="AA18" i="1" s="1"/>
  <c r="AB18" i="1" s="1"/>
  <c r="AC18" i="1" s="1"/>
  <c r="Z141" i="1"/>
  <c r="AA141" i="1" s="1"/>
  <c r="AB141" i="1" s="1"/>
  <c r="AC141" i="1" s="1"/>
  <c r="Z461" i="1"/>
  <c r="AA461" i="1" s="1"/>
  <c r="AB461" i="1" s="1"/>
  <c r="AD461" i="1" s="1"/>
  <c r="Z211" i="1"/>
  <c r="AA211" i="1" s="1"/>
  <c r="AB211" i="1" s="1"/>
  <c r="AC211" i="1" s="1"/>
  <c r="Z450" i="1"/>
  <c r="AA450" i="1" s="1"/>
  <c r="AB450" i="1" s="1"/>
  <c r="AC450" i="1" s="1"/>
  <c r="Z8" i="1"/>
  <c r="AA8" i="1" s="1"/>
  <c r="AB8" i="1" s="1"/>
  <c r="Z44" i="1"/>
  <c r="AA44" i="1" s="1"/>
  <c r="AB44" i="1" s="1"/>
  <c r="AC44" i="1" s="1"/>
  <c r="Z427" i="1"/>
  <c r="AA427" i="1" s="1"/>
  <c r="AB427" i="1" s="1"/>
  <c r="AC427" i="1" s="1"/>
  <c r="Z45" i="1"/>
  <c r="AA45" i="1" s="1"/>
  <c r="AB45" i="1" s="1"/>
  <c r="AD45" i="1" s="1"/>
  <c r="Z10" i="1"/>
  <c r="AA10" i="1" s="1"/>
  <c r="AB10" i="1" s="1"/>
  <c r="AD10" i="1" s="1"/>
  <c r="AE10" i="1" s="1"/>
  <c r="Z455" i="1"/>
  <c r="AA455" i="1" s="1"/>
  <c r="AB455" i="1" s="1"/>
  <c r="AD455" i="1" s="1"/>
  <c r="AE455" i="1" s="1"/>
  <c r="Z501" i="1"/>
  <c r="AA501" i="1" s="1"/>
  <c r="AB501" i="1" s="1"/>
  <c r="Z37" i="1"/>
  <c r="AA37" i="1" s="1"/>
  <c r="AB37" i="1" s="1"/>
  <c r="AC37" i="1" s="1"/>
  <c r="Z38" i="1"/>
  <c r="AA38" i="1" s="1"/>
  <c r="AB38" i="1" s="1"/>
  <c r="AC38" i="1" s="1"/>
  <c r="Z265" i="1"/>
  <c r="AA265" i="1" s="1"/>
  <c r="AB265" i="1" s="1"/>
  <c r="Z345" i="1"/>
  <c r="AA345" i="1" s="1"/>
  <c r="AB345" i="1" s="1"/>
  <c r="AC345" i="1" s="1"/>
  <c r="Z394" i="1"/>
  <c r="AA394" i="1" s="1"/>
  <c r="AB394" i="1" s="1"/>
  <c r="AC394" i="1" s="1"/>
  <c r="Z489" i="1"/>
  <c r="AA489" i="1" s="1"/>
  <c r="AB489" i="1" s="1"/>
  <c r="Z50" i="1"/>
  <c r="AA50" i="1" s="1"/>
  <c r="AB50" i="1" s="1"/>
  <c r="Z504" i="1"/>
  <c r="AA504" i="1" s="1"/>
  <c r="AB504" i="1" s="1"/>
  <c r="Z406" i="1"/>
  <c r="AA406" i="1" s="1"/>
  <c r="AB406" i="1" s="1"/>
  <c r="AD406" i="1" s="1"/>
  <c r="Z513" i="1"/>
  <c r="AA513" i="1" s="1"/>
  <c r="AB513" i="1" s="1"/>
  <c r="Z359" i="1"/>
  <c r="AA359" i="1" s="1"/>
  <c r="AB359" i="1" s="1"/>
  <c r="AC359" i="1" s="1"/>
  <c r="Z255" i="1"/>
  <c r="AA255" i="1" s="1"/>
  <c r="AB255" i="1" s="1"/>
  <c r="AC255" i="1" s="1"/>
  <c r="Z382" i="1"/>
  <c r="AA382" i="1" s="1"/>
  <c r="AB382" i="1" s="1"/>
  <c r="Z61" i="1"/>
  <c r="AA61" i="1" s="1"/>
  <c r="AB61" i="1" s="1"/>
  <c r="AC61" i="1" s="1"/>
  <c r="Z486" i="1"/>
  <c r="AA486" i="1" s="1"/>
  <c r="AB486" i="1" s="1"/>
  <c r="AC486" i="1" s="1"/>
  <c r="Z442" i="1"/>
  <c r="AA442" i="1" s="1"/>
  <c r="AB442" i="1" s="1"/>
  <c r="AD442" i="1" s="1"/>
  <c r="Z356" i="1"/>
  <c r="AA356" i="1" s="1"/>
  <c r="AB356" i="1" s="1"/>
  <c r="AC356" i="1" s="1"/>
  <c r="Z243" i="1"/>
  <c r="AA243" i="1" s="1"/>
  <c r="AB243" i="1" s="1"/>
  <c r="Z357" i="1"/>
  <c r="AA357" i="1" s="1"/>
  <c r="AB357" i="1" s="1"/>
  <c r="AE308" i="1"/>
  <c r="Z421" i="1"/>
  <c r="AA421" i="1" s="1"/>
  <c r="AB421" i="1" s="1"/>
  <c r="AC421" i="1" s="1"/>
  <c r="Z420" i="1"/>
  <c r="AA420" i="1" s="1"/>
  <c r="AB420" i="1" s="1"/>
  <c r="Z220" i="1"/>
  <c r="AA220" i="1" s="1"/>
  <c r="AB220" i="1" s="1"/>
  <c r="AD220" i="1" s="1"/>
  <c r="AE220" i="1" s="1"/>
  <c r="Z402" i="1"/>
  <c r="AA402" i="1" s="1"/>
  <c r="AB402" i="1" s="1"/>
  <c r="AC402" i="1" s="1"/>
  <c r="Z392" i="1"/>
  <c r="AA392" i="1" s="1"/>
  <c r="AB392" i="1" s="1"/>
  <c r="AC392" i="1" s="1"/>
  <c r="Z370" i="1"/>
  <c r="AA370" i="1" s="1"/>
  <c r="AB370" i="1" s="1"/>
  <c r="AC370" i="1" s="1"/>
  <c r="Z68" i="1"/>
  <c r="AA68" i="1" s="1"/>
  <c r="AB68" i="1" s="1"/>
  <c r="AC68" i="1" s="1"/>
  <c r="Z67" i="1"/>
  <c r="AA67" i="1" s="1"/>
  <c r="AB67" i="1" s="1"/>
  <c r="AC67" i="1" s="1"/>
  <c r="Z148" i="1"/>
  <c r="AA148" i="1" s="1"/>
  <c r="AB148" i="1" s="1"/>
  <c r="AD148" i="1" s="1"/>
  <c r="Z354" i="1"/>
  <c r="AA354" i="1" s="1"/>
  <c r="AB354" i="1" s="1"/>
  <c r="AC354" i="1" s="1"/>
  <c r="Z480" i="1"/>
  <c r="AA480" i="1" s="1"/>
  <c r="AB480" i="1" s="1"/>
  <c r="AD480" i="1" s="1"/>
  <c r="Z216" i="1"/>
  <c r="AA216" i="1" s="1"/>
  <c r="AB216" i="1" s="1"/>
  <c r="AC216" i="1" s="1"/>
  <c r="AC87" i="1"/>
  <c r="Z29" i="1"/>
  <c r="AA29" i="1" s="1"/>
  <c r="AB29" i="1" s="1"/>
  <c r="AC29" i="1" s="1"/>
  <c r="Z239" i="1"/>
  <c r="AA239" i="1" s="1"/>
  <c r="AB239" i="1" s="1"/>
  <c r="AD239" i="1" s="1"/>
  <c r="AE239" i="1" s="1"/>
  <c r="Z56" i="1"/>
  <c r="AA56" i="1" s="1"/>
  <c r="AB56" i="1" s="1"/>
  <c r="AC56" i="1" s="1"/>
  <c r="Z42" i="1"/>
  <c r="AA42" i="1" s="1"/>
  <c r="AB42" i="1" s="1"/>
  <c r="AC42" i="1" s="1"/>
  <c r="Z478" i="1"/>
  <c r="AA478" i="1" s="1"/>
  <c r="AB478" i="1" s="1"/>
  <c r="Z276" i="1"/>
  <c r="AA276" i="1" s="1"/>
  <c r="AB276" i="1" s="1"/>
  <c r="AD276" i="1" s="1"/>
  <c r="AE276" i="1" s="1"/>
  <c r="Z63" i="1"/>
  <c r="AA63" i="1" s="1"/>
  <c r="AB63" i="1" s="1"/>
  <c r="AD63" i="1" s="1"/>
  <c r="Z377" i="1"/>
  <c r="AA377" i="1" s="1"/>
  <c r="AB377" i="1" s="1"/>
  <c r="AC377" i="1" s="1"/>
  <c r="AD173" i="1"/>
  <c r="AE173" i="1" s="1"/>
  <c r="AC173" i="1"/>
  <c r="Z66" i="1"/>
  <c r="AA66" i="1" s="1"/>
  <c r="AB66" i="1" s="1"/>
  <c r="AC66" i="1" s="1"/>
  <c r="Z468" i="1"/>
  <c r="AA468" i="1" s="1"/>
  <c r="AB468" i="1" s="1"/>
  <c r="AD159" i="1"/>
  <c r="AE159" i="1" s="1"/>
  <c r="Z399" i="1"/>
  <c r="AA399" i="1" s="1"/>
  <c r="AB399" i="1" s="1"/>
  <c r="AC399" i="1" s="1"/>
  <c r="Z415" i="1"/>
  <c r="AA415" i="1" s="1"/>
  <c r="AB415" i="1" s="1"/>
  <c r="AC415" i="1" s="1"/>
  <c r="Z389" i="1"/>
  <c r="AA389" i="1" s="1"/>
  <c r="AB389" i="1" s="1"/>
  <c r="AD389" i="1" s="1"/>
  <c r="Z32" i="1"/>
  <c r="AA32" i="1" s="1"/>
  <c r="AB32" i="1" s="1"/>
  <c r="AC32" i="1" s="1"/>
  <c r="Z408" i="1"/>
  <c r="AA408" i="1" s="1"/>
  <c r="AB408" i="1" s="1"/>
  <c r="AC408" i="1" s="1"/>
  <c r="Z387" i="1"/>
  <c r="AA387" i="1" s="1"/>
  <c r="AB387" i="1" s="1"/>
  <c r="AC387" i="1" s="1"/>
  <c r="Z379" i="1"/>
  <c r="AA379" i="1" s="1"/>
  <c r="AB379" i="1" s="1"/>
  <c r="Z454" i="1"/>
  <c r="AA454" i="1" s="1"/>
  <c r="AB454" i="1" s="1"/>
  <c r="AC454" i="1" s="1"/>
  <c r="AD82" i="1"/>
  <c r="AE82" i="1" s="1"/>
  <c r="AC82" i="1"/>
  <c r="Z470" i="1"/>
  <c r="AA470" i="1" s="1"/>
  <c r="AB470" i="1" s="1"/>
  <c r="AD470" i="1" s="1"/>
  <c r="Z388" i="1"/>
  <c r="AA388" i="1" s="1"/>
  <c r="AB388" i="1" s="1"/>
  <c r="AC388" i="1" s="1"/>
  <c r="Z443" i="1"/>
  <c r="AA443" i="1" s="1"/>
  <c r="AB443" i="1" s="1"/>
  <c r="AC443" i="1" s="1"/>
  <c r="Z432" i="1"/>
  <c r="AA432" i="1" s="1"/>
  <c r="AB432" i="1" s="1"/>
  <c r="Z424" i="1"/>
  <c r="AA424" i="1" s="1"/>
  <c r="AB424" i="1" s="1"/>
  <c r="AC424" i="1" s="1"/>
  <c r="Z275" i="1"/>
  <c r="AA275" i="1" s="1"/>
  <c r="AB275" i="1" s="1"/>
  <c r="AD275" i="1" s="1"/>
  <c r="Z503" i="1"/>
  <c r="AA503" i="1" s="1"/>
  <c r="AB503" i="1" s="1"/>
  <c r="Z502" i="1"/>
  <c r="AA502" i="1" s="1"/>
  <c r="AB502" i="1" s="1"/>
  <c r="AD502" i="1" s="1"/>
  <c r="Z405" i="1"/>
  <c r="AA405" i="1" s="1"/>
  <c r="AB405" i="1" s="1"/>
  <c r="Z342" i="1"/>
  <c r="AA342" i="1" s="1"/>
  <c r="AB342" i="1" s="1"/>
  <c r="AC342" i="1" s="1"/>
  <c r="Z422" i="1"/>
  <c r="AA422" i="1" s="1"/>
  <c r="AB422" i="1" s="1"/>
  <c r="Z404" i="1"/>
  <c r="AA404" i="1" s="1"/>
  <c r="AB404" i="1" s="1"/>
  <c r="AC404" i="1" s="1"/>
  <c r="Z376" i="1"/>
  <c r="AA376" i="1" s="1"/>
  <c r="AB376" i="1" s="1"/>
  <c r="AC376" i="1" s="1"/>
  <c r="Z458" i="1"/>
  <c r="AA458" i="1" s="1"/>
  <c r="AB458" i="1" s="1"/>
  <c r="AC458" i="1" s="1"/>
  <c r="Z366" i="1"/>
  <c r="AA366" i="1" s="1"/>
  <c r="AB366" i="1" s="1"/>
  <c r="Z258" i="1"/>
  <c r="AA258" i="1" s="1"/>
  <c r="AB258" i="1" s="1"/>
  <c r="AD258" i="1" s="1"/>
  <c r="AE258" i="1" s="1"/>
  <c r="AD197" i="1"/>
  <c r="AE197" i="1" s="1"/>
  <c r="AC197" i="1"/>
  <c r="Z6" i="1"/>
  <c r="AA6" i="1" s="1"/>
  <c r="AB6" i="1" s="1"/>
  <c r="AC6" i="1" s="1"/>
  <c r="Z425" i="1"/>
  <c r="AA425" i="1" s="1"/>
  <c r="AB425" i="1" s="1"/>
  <c r="AD425" i="1" s="1"/>
  <c r="AD312" i="1"/>
  <c r="AE312" i="1" s="1"/>
  <c r="AC312" i="1"/>
  <c r="Z446" i="1"/>
  <c r="AA446" i="1" s="1"/>
  <c r="AB446" i="1" s="1"/>
  <c r="AD446" i="1" s="1"/>
  <c r="Z467" i="1"/>
  <c r="AA467" i="1" s="1"/>
  <c r="AB467" i="1" s="1"/>
  <c r="AC467" i="1" s="1"/>
  <c r="Z436" i="1"/>
  <c r="AA436" i="1" s="1"/>
  <c r="AB436" i="1" s="1"/>
  <c r="AD436" i="1" s="1"/>
  <c r="AD193" i="1"/>
  <c r="AE193" i="1" s="1"/>
  <c r="AC157" i="1"/>
  <c r="AD157" i="1"/>
  <c r="AE157" i="1" s="1"/>
  <c r="Z445" i="1"/>
  <c r="AA445" i="1" s="1"/>
  <c r="AB445" i="1" s="1"/>
  <c r="AD445" i="1" s="1"/>
  <c r="Z453" i="1"/>
  <c r="AA453" i="1" s="1"/>
  <c r="AB453" i="1" s="1"/>
  <c r="AD294" i="1"/>
  <c r="AE294" i="1" s="1"/>
  <c r="Z364" i="1"/>
  <c r="AA364" i="1" s="1"/>
  <c r="AB364" i="1" s="1"/>
  <c r="AC364" i="1" s="1"/>
  <c r="Z400" i="1"/>
  <c r="AA400" i="1" s="1"/>
  <c r="AB400" i="1" s="1"/>
  <c r="AC400" i="1" s="1"/>
  <c r="Z401" i="1"/>
  <c r="AA401" i="1" s="1"/>
  <c r="AB401" i="1" s="1"/>
  <c r="AC401" i="1" s="1"/>
  <c r="Z54" i="1"/>
  <c r="AA54" i="1" s="1"/>
  <c r="AB54" i="1" s="1"/>
  <c r="AD54" i="1" s="1"/>
  <c r="AE54" i="1" s="1"/>
  <c r="Z40" i="1"/>
  <c r="AA40" i="1" s="1"/>
  <c r="AB40" i="1" s="1"/>
  <c r="Z383" i="1"/>
  <c r="AA383" i="1" s="1"/>
  <c r="AB383" i="1" s="1"/>
  <c r="AC383" i="1" s="1"/>
  <c r="Z293" i="1"/>
  <c r="AA293" i="1" s="1"/>
  <c r="AB293" i="1" s="1"/>
  <c r="AC293" i="1" s="1"/>
  <c r="Z499" i="1"/>
  <c r="AA499" i="1" s="1"/>
  <c r="AB499" i="1" s="1"/>
  <c r="Z447" i="1"/>
  <c r="AA447" i="1" s="1"/>
  <c r="AB447" i="1" s="1"/>
  <c r="AD447" i="1" s="1"/>
  <c r="Z25" i="1"/>
  <c r="AA25" i="1" s="1"/>
  <c r="AB25" i="1" s="1"/>
  <c r="AD25" i="1" s="1"/>
  <c r="AE25" i="1" s="1"/>
  <c r="AD183" i="1"/>
  <c r="AE183" i="1" s="1"/>
  <c r="AC183" i="1"/>
  <c r="AA125" i="1"/>
  <c r="AB125" i="1" s="1"/>
  <c r="AD284" i="1"/>
  <c r="AE284" i="1" s="1"/>
  <c r="AC284" i="1"/>
  <c r="AD93" i="1"/>
  <c r="AE93" i="1" s="1"/>
  <c r="AC93" i="1"/>
  <c r="AD73" i="1"/>
  <c r="AE73" i="1" s="1"/>
  <c r="AC73" i="1"/>
  <c r="AD162" i="1"/>
  <c r="AE162" i="1" s="1"/>
  <c r="AC162" i="1"/>
  <c r="AC322" i="1"/>
  <c r="AD322" i="1"/>
  <c r="AE322" i="1" s="1"/>
  <c r="AC264" i="1"/>
  <c r="AD264" i="1"/>
  <c r="AE264" i="1" s="1"/>
  <c r="AC336" i="1"/>
  <c r="AD336" i="1"/>
  <c r="AE336" i="1" s="1"/>
  <c r="AD160" i="1"/>
  <c r="AE160" i="1" s="1"/>
  <c r="AC160" i="1"/>
  <c r="Z369" i="1"/>
  <c r="AA369" i="1" s="1"/>
  <c r="AB369" i="1" s="1"/>
  <c r="AA101" i="1"/>
  <c r="AB101" i="1" s="1"/>
  <c r="Z348" i="1"/>
  <c r="AA348" i="1" s="1"/>
  <c r="AB348" i="1" s="1"/>
  <c r="AA181" i="1"/>
  <c r="AB181" i="1" s="1"/>
  <c r="AA112" i="1"/>
  <c r="AB112" i="1" s="1"/>
  <c r="Z222" i="1"/>
  <c r="AA222" i="1" s="1"/>
  <c r="AB222" i="1" s="1"/>
  <c r="Z479" i="1"/>
  <c r="AA479" i="1" s="1"/>
  <c r="AB479" i="1" s="1"/>
  <c r="AD479" i="1" s="1"/>
  <c r="Z365" i="1"/>
  <c r="AB247" i="1"/>
  <c r="AC247" i="1" s="1"/>
  <c r="AD205" i="1"/>
  <c r="AE205" i="1" s="1"/>
  <c r="AB185" i="1"/>
  <c r="AA177" i="1"/>
  <c r="AB177" i="1" s="1"/>
  <c r="AB170" i="1"/>
  <c r="AC170" i="1" s="1"/>
  <c r="AD147" i="1"/>
  <c r="AE147" i="1" s="1"/>
  <c r="AA126" i="1"/>
  <c r="AB126" i="1" s="1"/>
  <c r="AA115" i="1"/>
  <c r="AB115" i="1" s="1"/>
  <c r="AA145" i="1"/>
  <c r="AB145" i="1" s="1"/>
  <c r="AC145" i="1" s="1"/>
  <c r="AA172" i="1"/>
  <c r="AB172" i="1" s="1"/>
  <c r="Z509" i="1"/>
  <c r="AA209" i="1"/>
  <c r="AB209" i="1" s="1"/>
  <c r="AB202" i="1"/>
  <c r="AC202" i="1" s="1"/>
  <c r="AA152" i="1"/>
  <c r="AB152" i="1" s="1"/>
  <c r="AD152" i="1" s="1"/>
  <c r="AE152" i="1" s="1"/>
  <c r="AA188" i="1"/>
  <c r="AB188" i="1" s="1"/>
  <c r="AB109" i="1"/>
  <c r="Z53" i="1"/>
  <c r="AA53" i="1" s="1"/>
  <c r="AB53" i="1" s="1"/>
  <c r="AC53" i="1" s="1"/>
  <c r="AA187" i="1"/>
  <c r="AB187" i="1" s="1"/>
  <c r="AB77" i="1"/>
  <c r="AC77" i="1" s="1"/>
  <c r="AA199" i="1"/>
  <c r="AB199" i="1" s="1"/>
  <c r="AC176" i="1"/>
  <c r="AD176" i="1"/>
  <c r="AE176" i="1" s="1"/>
  <c r="AB76" i="1"/>
  <c r="AD76" i="1" s="1"/>
  <c r="AE76" i="1" s="1"/>
  <c r="AA246" i="1"/>
  <c r="AB246" i="1" s="1"/>
  <c r="AC246" i="1" s="1"/>
  <c r="AB161" i="1"/>
  <c r="AC161" i="1" s="1"/>
  <c r="AA97" i="1"/>
  <c r="AB97" i="1" s="1"/>
  <c r="AA282" i="1"/>
  <c r="AB282" i="1" s="1"/>
  <c r="AA100" i="1"/>
  <c r="AB100" i="1" s="1"/>
  <c r="AC135" i="1"/>
  <c r="AD135" i="1"/>
  <c r="AE135" i="1" s="1"/>
  <c r="AD324" i="1"/>
  <c r="AE324" i="1" s="1"/>
  <c r="AC324" i="1"/>
  <c r="AB116" i="1"/>
  <c r="AD116" i="1" s="1"/>
  <c r="AB140" i="1"/>
  <c r="AC140" i="1" s="1"/>
  <c r="AA127" i="1"/>
  <c r="AB127" i="1" s="1"/>
  <c r="AA195" i="1"/>
  <c r="AB195" i="1" s="1"/>
  <c r="AD272" i="1"/>
  <c r="AE272" i="1" s="1"/>
  <c r="AA223" i="1"/>
  <c r="AB223" i="1" s="1"/>
  <c r="AB175" i="1"/>
  <c r="AA326" i="1"/>
  <c r="AB326" i="1" s="1"/>
  <c r="AA192" i="1"/>
  <c r="AB192" i="1" s="1"/>
  <c r="AA151" i="1"/>
  <c r="AB151" i="1" s="1"/>
  <c r="AA121" i="1"/>
  <c r="AB121" i="1" s="1"/>
  <c r="AB89" i="1"/>
  <c r="AD89" i="1" s="1"/>
  <c r="AE89" i="1" s="1"/>
  <c r="AB103" i="1"/>
  <c r="AC103" i="1" s="1"/>
  <c r="AB88" i="1"/>
  <c r="AC88" i="1" s="1"/>
  <c r="AA136" i="1"/>
  <c r="AB136" i="1" s="1"/>
  <c r="AA111" i="1"/>
  <c r="AB111" i="1" s="1"/>
  <c r="AB210" i="1"/>
  <c r="AD210" i="1" s="1"/>
  <c r="AA128" i="1"/>
  <c r="AB128" i="1" s="1"/>
  <c r="AB219" i="1"/>
  <c r="AA207" i="1"/>
  <c r="AB207" i="1" s="1"/>
  <c r="AB149" i="1"/>
  <c r="AC227" i="1"/>
  <c r="AD227" i="1"/>
  <c r="AE227" i="1" s="1"/>
  <c r="AD203" i="1"/>
  <c r="AE203" i="1" s="1"/>
  <c r="AC203" i="1"/>
  <c r="AC143" i="1"/>
  <c r="AD143" i="1"/>
  <c r="AE143" i="1" s="1"/>
  <c r="AD286" i="1"/>
  <c r="AE286" i="1" s="1"/>
  <c r="AC286" i="1"/>
  <c r="AC130" i="1"/>
  <c r="AD130" i="1"/>
  <c r="AE130" i="1" s="1"/>
  <c r="AD86" i="1"/>
  <c r="AE86" i="1" s="1"/>
  <c r="AC86" i="1"/>
  <c r="AC310" i="1"/>
  <c r="AC165" i="1"/>
  <c r="AB83" i="1"/>
  <c r="AC83" i="1" s="1"/>
  <c r="AD306" i="1"/>
  <c r="AE306" i="1" s="1"/>
  <c r="AD120" i="1"/>
  <c r="AE120" i="1" s="1"/>
  <c r="AB323" i="1"/>
  <c r="AD323" i="1" s="1"/>
  <c r="AC332" i="1"/>
  <c r="AC308" i="1"/>
  <c r="AC138" i="1"/>
  <c r="AD123" i="1"/>
  <c r="AE123" i="1" s="1"/>
  <c r="AD99" i="1"/>
  <c r="AE99" i="1" s="1"/>
  <c r="AB81" i="1"/>
  <c r="AD81" i="1" s="1"/>
  <c r="AE81" i="1" s="1"/>
  <c r="AD75" i="1"/>
  <c r="AE75" i="1" s="1"/>
  <c r="AB201" i="1"/>
  <c r="AB118" i="1"/>
  <c r="AD118" i="1" s="1"/>
  <c r="AE118" i="1" s="1"/>
  <c r="AB107" i="1"/>
  <c r="AD107" i="1" s="1"/>
  <c r="AE107" i="1" s="1"/>
  <c r="AD334" i="1"/>
  <c r="AE334" i="1" s="1"/>
  <c r="AD300" i="1"/>
  <c r="AE300" i="1" s="1"/>
  <c r="AD296" i="1"/>
  <c r="AE296" i="1" s="1"/>
  <c r="AD288" i="1"/>
  <c r="AE288" i="1" s="1"/>
  <c r="AD133" i="1"/>
  <c r="AE133" i="1" s="1"/>
  <c r="AB129" i="1"/>
  <c r="AD129" i="1" s="1"/>
  <c r="AE129" i="1" s="1"/>
  <c r="AB117" i="1"/>
  <c r="AD117" i="1" s="1"/>
  <c r="AE117" i="1" s="1"/>
  <c r="AD80" i="1"/>
  <c r="AE80" i="1" s="1"/>
  <c r="AD200" i="1"/>
  <c r="AE200" i="1" s="1"/>
  <c r="AB191" i="1"/>
  <c r="AC191" i="1" s="1"/>
  <c r="AB122" i="1"/>
  <c r="AD122" i="1" s="1"/>
  <c r="AE122" i="1" s="1"/>
  <c r="AC104" i="1"/>
  <c r="AB94" i="1"/>
  <c r="AC94" i="1" s="1"/>
  <c r="AB311" i="1"/>
  <c r="AD311" i="1" s="1"/>
  <c r="AD259" i="1"/>
  <c r="AE259" i="1" s="1"/>
  <c r="AB190" i="1"/>
  <c r="AC190" i="1" s="1"/>
  <c r="AD98" i="1"/>
  <c r="AE98" i="1" s="1"/>
  <c r="AB74" i="1"/>
  <c r="AC74" i="1" s="1"/>
  <c r="AE310" i="1"/>
  <c r="AC259" i="1"/>
  <c r="AB166" i="1"/>
  <c r="AD166" i="1" s="1"/>
  <c r="AE166" i="1" s="1"/>
  <c r="AC298" i="1"/>
  <c r="AD298" i="1"/>
  <c r="AE298" i="1" s="1"/>
  <c r="AD291" i="1"/>
  <c r="AE291" i="1" s="1"/>
  <c r="AD110" i="1"/>
  <c r="AE110" i="1" s="1"/>
  <c r="AD335" i="1"/>
  <c r="AE335" i="1" s="1"/>
  <c r="AD325" i="1"/>
  <c r="AE325" i="1" s="1"/>
  <c r="AD297" i="1"/>
  <c r="AE297" i="1" s="1"/>
  <c r="AC297" i="1"/>
  <c r="AE229" i="1"/>
  <c r="AC229" i="1"/>
  <c r="AD328" i="1"/>
  <c r="AE328" i="1" s="1"/>
  <c r="AD316" i="1"/>
  <c r="AE316" i="1" s="1"/>
  <c r="AD309" i="1"/>
  <c r="AE309" i="1" s="1"/>
  <c r="AC309" i="1"/>
  <c r="AD303" i="1"/>
  <c r="AE303" i="1" s="1"/>
  <c r="AD290" i="1"/>
  <c r="AE290" i="1" s="1"/>
  <c r="AC290" i="1"/>
  <c r="AD189" i="1"/>
  <c r="AE189" i="1" s="1"/>
  <c r="AC180" i="1"/>
  <c r="AE180" i="1"/>
  <c r="AC164" i="1"/>
  <c r="AE164" i="1"/>
  <c r="AC184" i="1"/>
  <c r="AD184" i="1"/>
  <c r="AE184" i="1" s="1"/>
  <c r="AE168" i="1"/>
  <c r="AC168" i="1"/>
  <c r="AD327" i="1"/>
  <c r="AE327" i="1" s="1"/>
  <c r="AC327" i="1"/>
  <c r="AD315" i="1"/>
  <c r="AE315" i="1" s="1"/>
  <c r="AD302" i="1"/>
  <c r="AE302" i="1" s="1"/>
  <c r="AC302" i="1"/>
  <c r="AD299" i="1"/>
  <c r="AE299" i="1" s="1"/>
  <c r="AD279" i="1"/>
  <c r="AE279" i="1" s="1"/>
  <c r="AC269" i="1"/>
  <c r="AD269" i="1"/>
  <c r="AE269" i="1" s="1"/>
  <c r="AC206" i="1"/>
  <c r="AE206" i="1"/>
  <c r="AD119" i="1"/>
  <c r="AE119" i="1" s="1"/>
  <c r="AC119" i="1"/>
  <c r="AD333" i="1"/>
  <c r="AE333" i="1" s="1"/>
  <c r="AC333" i="1"/>
  <c r="AD305" i="1"/>
  <c r="AE305" i="1" s="1"/>
  <c r="AD285" i="1"/>
  <c r="AE285" i="1" s="1"/>
  <c r="AC285" i="1"/>
  <c r="AC150" i="1"/>
  <c r="AD150" i="1"/>
  <c r="AE150" i="1" s="1"/>
  <c r="AD142" i="1"/>
  <c r="AE142" i="1" s="1"/>
  <c r="AC142" i="1"/>
  <c r="AC91" i="1"/>
  <c r="AE91" i="1"/>
  <c r="AD301" i="1"/>
  <c r="AE301" i="1" s="1"/>
  <c r="AD198" i="1"/>
  <c r="AE198" i="1" s="1"/>
  <c r="AD155" i="1"/>
  <c r="AE155" i="1" s="1"/>
  <c r="AD102" i="1"/>
  <c r="AE102" i="1" s="1"/>
  <c r="AD338" i="1"/>
  <c r="AE338" i="1" s="1"/>
  <c r="AC338" i="1"/>
  <c r="AD329" i="1"/>
  <c r="AE329" i="1" s="1"/>
  <c r="AD317" i="1"/>
  <c r="AE317" i="1" s="1"/>
  <c r="AC186" i="1"/>
  <c r="AD174" i="1"/>
  <c r="AE174" i="1" s="1"/>
  <c r="AC174" i="1"/>
  <c r="AD304" i="1"/>
  <c r="AE304" i="1" s="1"/>
  <c r="AD277" i="1"/>
  <c r="AE277" i="1" s="1"/>
  <c r="AC277" i="1"/>
  <c r="AE158" i="1"/>
  <c r="AC158" i="1"/>
  <c r="AD313" i="1"/>
  <c r="AE313" i="1" s="1"/>
  <c r="AD281" i="1"/>
  <c r="AE281" i="1" s="1"/>
  <c r="AD248" i="1"/>
  <c r="AE248" i="1" s="1"/>
  <c r="AD337" i="1"/>
  <c r="AE337" i="1" s="1"/>
  <c r="AD287" i="1"/>
  <c r="AE287" i="1" s="1"/>
  <c r="AD273" i="1"/>
  <c r="AE273" i="1" s="1"/>
  <c r="AC273" i="1"/>
  <c r="AC270" i="1"/>
  <c r="AE270" i="1"/>
  <c r="AC228" i="1"/>
  <c r="AD228" i="1"/>
  <c r="AE228" i="1" s="1"/>
  <c r="AC169" i="1"/>
  <c r="AD169" i="1"/>
  <c r="AE169" i="1" s="1"/>
  <c r="AC154" i="1"/>
  <c r="AD154" i="1"/>
  <c r="AE154" i="1" s="1"/>
  <c r="AD280" i="1"/>
  <c r="AE280" i="1" s="1"/>
  <c r="AC280" i="1"/>
  <c r="AD289" i="1"/>
  <c r="AE289" i="1" s="1"/>
  <c r="AC179" i="1"/>
  <c r="AD179" i="1"/>
  <c r="AE179" i="1" s="1"/>
  <c r="AE113" i="1"/>
  <c r="AC113" i="1"/>
  <c r="AD196" i="1"/>
  <c r="AE196" i="1" s="1"/>
  <c r="AC78" i="1"/>
  <c r="AD78" i="1"/>
  <c r="AE78" i="1" s="1"/>
  <c r="AD330" i="1"/>
  <c r="AE330" i="1" s="1"/>
  <c r="AC330" i="1"/>
  <c r="AD292" i="1"/>
  <c r="AE292" i="1" s="1"/>
  <c r="AC137" i="1"/>
  <c r="AD137" i="1"/>
  <c r="AE137" i="1" s="1"/>
  <c r="AE332" i="1"/>
  <c r="AC329" i="1"/>
  <c r="AC317" i="1"/>
  <c r="AD314" i="1"/>
  <c r="AE314" i="1" s="1"/>
  <c r="AC314" i="1"/>
  <c r="AC291" i="1"/>
  <c r="AD278" i="1"/>
  <c r="AE278" i="1" s="1"/>
  <c r="AC278" i="1"/>
  <c r="AD249" i="1"/>
  <c r="AE249" i="1" s="1"/>
  <c r="AD186" i="1"/>
  <c r="AE186" i="1" s="1"/>
  <c r="AC182" i="1"/>
  <c r="AD182" i="1"/>
  <c r="AE182" i="1" s="1"/>
  <c r="AE171" i="1"/>
  <c r="AC171" i="1"/>
  <c r="AE165" i="1"/>
  <c r="AC155" i="1"/>
  <c r="AC110" i="1"/>
  <c r="AC106" i="1"/>
  <c r="AD106" i="1"/>
  <c r="AE106" i="1" s="1"/>
  <c r="AC139" i="1"/>
  <c r="AD134" i="1"/>
  <c r="AE134" i="1" s="1"/>
  <c r="AE131" i="1"/>
  <c r="AC131" i="1"/>
  <c r="AD105" i="1"/>
  <c r="AE105" i="1" s="1"/>
  <c r="AC72" i="1"/>
  <c r="AD72" i="1"/>
  <c r="AE72" i="1" s="1"/>
  <c r="AC178" i="1"/>
  <c r="AD178" i="1"/>
  <c r="AE178" i="1" s="1"/>
  <c r="AC167" i="1"/>
  <c r="AD167" i="1"/>
  <c r="AE167" i="1" s="1"/>
  <c r="AD139" i="1"/>
  <c r="AE139" i="1" s="1"/>
  <c r="AD268" i="1"/>
  <c r="AE268" i="1" s="1"/>
  <c r="AC268" i="1"/>
  <c r="AC96" i="1"/>
  <c r="AD96" i="1"/>
  <c r="AE96" i="1" s="1"/>
  <c r="AC92" i="1"/>
  <c r="AD92" i="1"/>
  <c r="AE92" i="1" s="1"/>
  <c r="AD194" i="1"/>
  <c r="AE194" i="1" s="1"/>
  <c r="AD163" i="1"/>
  <c r="AE163" i="1" s="1"/>
  <c r="AD331" i="1"/>
  <c r="AE331" i="1" s="1"/>
  <c r="AD307" i="1"/>
  <c r="AE307" i="1" s="1"/>
  <c r="AD295" i="1"/>
  <c r="AE295" i="1" s="1"/>
  <c r="AD283" i="1"/>
  <c r="AE283" i="1" s="1"/>
  <c r="AD271" i="1"/>
  <c r="AE271" i="1" s="1"/>
  <c r="AC124" i="1"/>
  <c r="AD124" i="1"/>
  <c r="AE124" i="1" s="1"/>
  <c r="AC84" i="1"/>
  <c r="AD84" i="1"/>
  <c r="AE84" i="1" s="1"/>
  <c r="AD156" i="1"/>
  <c r="AE156" i="1" s="1"/>
  <c r="AC156" i="1"/>
  <c r="AC132" i="1"/>
  <c r="AD132" i="1"/>
  <c r="AE132" i="1" s="1"/>
  <c r="AD108" i="1"/>
  <c r="AE108" i="1" s="1"/>
  <c r="AE104" i="1"/>
  <c r="AC95" i="1"/>
  <c r="AD95" i="1"/>
  <c r="AE95" i="1" s="1"/>
  <c r="AE138" i="1"/>
  <c r="AD85" i="1"/>
  <c r="AE85" i="1" s="1"/>
  <c r="AC90" i="1"/>
  <c r="AD90" i="1"/>
  <c r="AE90" i="1" s="1"/>
  <c r="AC114" i="1"/>
  <c r="AD114" i="1"/>
  <c r="AE114" i="1" s="1"/>
  <c r="AC79" i="1"/>
  <c r="AD79" i="1"/>
  <c r="AE79" i="1" s="1"/>
  <c r="AD238" i="1" l="1"/>
  <c r="AE238" i="1" s="1"/>
  <c r="Z57" i="1"/>
  <c r="AA57" i="1" s="1"/>
  <c r="AB57" i="1" s="1"/>
  <c r="AC57" i="1" s="1"/>
  <c r="Z55" i="1"/>
  <c r="AA55" i="1" s="1"/>
  <c r="AB55" i="1" s="1"/>
  <c r="AC55" i="1" s="1"/>
  <c r="Z30" i="1"/>
  <c r="AA30" i="1" s="1"/>
  <c r="AB30" i="1" s="1"/>
  <c r="AC30" i="1" s="1"/>
  <c r="Z51" i="1"/>
  <c r="AA51" i="1" s="1"/>
  <c r="AB51" i="1" s="1"/>
  <c r="AD51" i="1" s="1"/>
  <c r="AE51" i="1" s="1"/>
  <c r="Z7" i="1"/>
  <c r="AA7" i="1" s="1"/>
  <c r="AB7" i="1" s="1"/>
  <c r="AD7" i="1" s="1"/>
  <c r="AE7" i="1" s="1"/>
  <c r="Z20" i="1"/>
  <c r="AA20" i="1" s="1"/>
  <c r="AB20" i="1" s="1"/>
  <c r="AC20" i="1" s="1"/>
  <c r="Z31" i="1"/>
  <c r="AA31" i="1" s="1"/>
  <c r="AB31" i="1" s="1"/>
  <c r="AC31" i="1" s="1"/>
  <c r="Z64" i="1"/>
  <c r="AA64" i="1" s="1"/>
  <c r="AB64" i="1" s="1"/>
  <c r="AC64" i="1" s="1"/>
  <c r="Z204" i="1"/>
  <c r="AA204" i="1" s="1"/>
  <c r="AB204" i="1" s="1"/>
  <c r="AD204" i="1" s="1"/>
  <c r="Z217" i="1"/>
  <c r="AA217" i="1" s="1"/>
  <c r="AB217" i="1" s="1"/>
  <c r="AD217" i="1" s="1"/>
  <c r="AE217" i="1" s="1"/>
  <c r="Z52" i="1"/>
  <c r="AA52" i="1" s="1"/>
  <c r="AB52" i="1" s="1"/>
  <c r="AC52" i="1" s="1"/>
  <c r="Z41" i="1"/>
  <c r="AA41" i="1" s="1"/>
  <c r="AB41" i="1" s="1"/>
  <c r="AC41" i="1" s="1"/>
  <c r="Z19" i="1"/>
  <c r="AA19" i="1" s="1"/>
  <c r="AB19" i="1" s="1"/>
  <c r="AC19" i="1" s="1"/>
  <c r="Z261" i="1"/>
  <c r="AA261" i="1" s="1"/>
  <c r="AB261" i="1" s="1"/>
  <c r="AD261" i="1" s="1"/>
  <c r="Z21" i="1"/>
  <c r="AA21" i="1" s="1"/>
  <c r="AB21" i="1" s="1"/>
  <c r="AD21" i="1" s="1"/>
  <c r="AE21" i="1" s="1"/>
  <c r="Z226" i="1"/>
  <c r="AA226" i="1" s="1"/>
  <c r="AB226" i="1" s="1"/>
  <c r="AD226" i="1" s="1"/>
  <c r="AE226" i="1" s="1"/>
  <c r="AC506" i="1"/>
  <c r="AD513" i="1"/>
  <c r="AE513" i="1" s="1"/>
  <c r="AE459" i="1"/>
  <c r="AD345" i="1"/>
  <c r="AE345" i="1" s="1"/>
  <c r="Z393" i="1"/>
  <c r="AA393" i="1" s="1"/>
  <c r="AB393" i="1" s="1"/>
  <c r="AD393" i="1" s="1"/>
  <c r="AC456" i="1"/>
  <c r="Z253" i="1"/>
  <c r="AA253" i="1" s="1"/>
  <c r="AB253" i="1" s="1"/>
  <c r="AD253" i="1" s="1"/>
  <c r="AE253" i="1" s="1"/>
  <c r="Z418" i="1"/>
  <c r="AA418" i="1" s="1"/>
  <c r="AB418" i="1" s="1"/>
  <c r="AD418" i="1" s="1"/>
  <c r="Z355" i="1"/>
  <c r="AA355" i="1" s="1"/>
  <c r="AB355" i="1" s="1"/>
  <c r="AD355" i="1" s="1"/>
  <c r="AD44" i="1"/>
  <c r="AE44" i="1" s="1"/>
  <c r="Z360" i="1"/>
  <c r="AA360" i="1" s="1"/>
  <c r="AB360" i="1" s="1"/>
  <c r="AD360" i="1" s="1"/>
  <c r="Z252" i="1"/>
  <c r="AA252" i="1" s="1"/>
  <c r="AB252" i="1" s="1"/>
  <c r="AD252" i="1" s="1"/>
  <c r="AE252" i="1" s="1"/>
  <c r="Z266" i="1"/>
  <c r="AA266" i="1" s="1"/>
  <c r="AB266" i="1" s="1"/>
  <c r="AC266" i="1" s="1"/>
  <c r="Z417" i="1"/>
  <c r="AA417" i="1" s="1"/>
  <c r="AB417" i="1" s="1"/>
  <c r="AD417" i="1" s="1"/>
  <c r="Z368" i="1"/>
  <c r="AA368" i="1" s="1"/>
  <c r="AB368" i="1" s="1"/>
  <c r="AC368" i="1" s="1"/>
  <c r="Z262" i="1"/>
  <c r="AA262" i="1" s="1"/>
  <c r="AB262" i="1" s="1"/>
  <c r="AD262" i="1" s="1"/>
  <c r="AE262" i="1" s="1"/>
  <c r="Z9" i="1"/>
  <c r="AA9" i="1" s="1"/>
  <c r="AB9" i="1" s="1"/>
  <c r="AC9" i="1" s="1"/>
  <c r="AC442" i="1"/>
  <c r="Z498" i="1"/>
  <c r="AA498" i="1" s="1"/>
  <c r="AB498" i="1" s="1"/>
  <c r="Z346" i="1"/>
  <c r="AA346" i="1" s="1"/>
  <c r="AB346" i="1" s="1"/>
  <c r="AC346" i="1" s="1"/>
  <c r="Z244" i="1"/>
  <c r="AA244" i="1" s="1"/>
  <c r="AB244" i="1" s="1"/>
  <c r="AC244" i="1" s="1"/>
  <c r="Z474" i="1"/>
  <c r="AA474" i="1" s="1"/>
  <c r="AB474" i="1" s="1"/>
  <c r="Z274" i="1"/>
  <c r="AA274" i="1" s="1"/>
  <c r="AB274" i="1" s="1"/>
  <c r="AC274" i="1" s="1"/>
  <c r="Z318" i="1"/>
  <c r="AA318" i="1" s="1"/>
  <c r="AB318" i="1" s="1"/>
  <c r="AD318" i="1" s="1"/>
  <c r="Z62" i="1"/>
  <c r="AA62" i="1" s="1"/>
  <c r="AB62" i="1" s="1"/>
  <c r="AC62" i="1" s="1"/>
  <c r="Z43" i="1"/>
  <c r="AA43" i="1" s="1"/>
  <c r="AB43" i="1" s="1"/>
  <c r="AC43" i="1" s="1"/>
  <c r="Z34" i="1"/>
  <c r="AA34" i="1" s="1"/>
  <c r="AB34" i="1" s="1"/>
  <c r="AD34" i="1" s="1"/>
  <c r="AE34" i="1" s="1"/>
  <c r="AD359" i="1"/>
  <c r="AE359" i="1" s="1"/>
  <c r="Z385" i="1"/>
  <c r="AA385" i="1" s="1"/>
  <c r="AB385" i="1" s="1"/>
  <c r="AC385" i="1" s="1"/>
  <c r="Z378" i="1"/>
  <c r="AA378" i="1" s="1"/>
  <c r="AB378" i="1" s="1"/>
  <c r="AC378" i="1" s="1"/>
  <c r="Z344" i="1"/>
  <c r="AA344" i="1" s="1"/>
  <c r="AB344" i="1" s="1"/>
  <c r="AD344" i="1" s="1"/>
  <c r="Z403" i="1"/>
  <c r="AA403" i="1" s="1"/>
  <c r="AB403" i="1" s="1"/>
  <c r="AD403" i="1" s="1"/>
  <c r="Z413" i="1"/>
  <c r="AA413" i="1" s="1"/>
  <c r="AB413" i="1" s="1"/>
  <c r="AD413" i="1" s="1"/>
  <c r="AC45" i="1"/>
  <c r="Z426" i="1"/>
  <c r="AA426" i="1" s="1"/>
  <c r="AB426" i="1" s="1"/>
  <c r="AC426" i="1" s="1"/>
  <c r="Z11" i="1"/>
  <c r="AA11" i="1" s="1"/>
  <c r="AB11" i="1" s="1"/>
  <c r="AC11" i="1" s="1"/>
  <c r="AD240" i="1"/>
  <c r="AE240" i="1" s="1"/>
  <c r="Z430" i="1"/>
  <c r="AA430" i="1" s="1"/>
  <c r="AB430" i="1" s="1"/>
  <c r="AC430" i="1" s="1"/>
  <c r="Z231" i="1"/>
  <c r="AA231" i="1" s="1"/>
  <c r="AB231" i="1" s="1"/>
  <c r="AD231" i="1" s="1"/>
  <c r="AE231" i="1" s="1"/>
  <c r="Z12" i="1"/>
  <c r="AA12" i="1" s="1"/>
  <c r="AB12" i="1" s="1"/>
  <c r="AC12" i="1" s="1"/>
  <c r="Z60" i="1"/>
  <c r="AA60" i="1" s="1"/>
  <c r="AB60" i="1" s="1"/>
  <c r="AC60" i="1" s="1"/>
  <c r="Z449" i="1"/>
  <c r="AA449" i="1" s="1"/>
  <c r="AB449" i="1" s="1"/>
  <c r="AC449" i="1" s="1"/>
  <c r="Z321" i="1"/>
  <c r="AA321" i="1" s="1"/>
  <c r="AB321" i="1" s="1"/>
  <c r="AD321" i="1" s="1"/>
  <c r="Z215" i="1"/>
  <c r="AA215" i="1" s="1"/>
  <c r="AB215" i="1" s="1"/>
  <c r="AD215" i="1" s="1"/>
  <c r="AE215" i="1" s="1"/>
  <c r="Z448" i="1"/>
  <c r="AA448" i="1" s="1"/>
  <c r="AB448" i="1" s="1"/>
  <c r="AC448" i="1" s="1"/>
  <c r="Z221" i="1"/>
  <c r="AA221" i="1" s="1"/>
  <c r="AB221" i="1" s="1"/>
  <c r="AC221" i="1" s="1"/>
  <c r="Z256" i="1"/>
  <c r="AA256" i="1" s="1"/>
  <c r="AB256" i="1" s="1"/>
  <c r="AD256" i="1" s="1"/>
  <c r="AE256" i="1" s="1"/>
  <c r="Z482" i="1"/>
  <c r="AA482" i="1" s="1"/>
  <c r="AB482" i="1" s="1"/>
  <c r="AD482" i="1" s="1"/>
  <c r="Z483" i="1"/>
  <c r="AA483" i="1" s="1"/>
  <c r="AB483" i="1" s="1"/>
  <c r="Z397" i="1"/>
  <c r="AA397" i="1" s="1"/>
  <c r="AB397" i="1" s="1"/>
  <c r="AD397" i="1" s="1"/>
  <c r="AC459" i="1"/>
  <c r="Z319" i="1"/>
  <c r="AA319" i="1" s="1"/>
  <c r="AB319" i="1" s="1"/>
  <c r="AC319" i="1" s="1"/>
  <c r="Z14" i="1"/>
  <c r="AA14" i="1" s="1"/>
  <c r="AB14" i="1" s="1"/>
  <c r="AD14" i="1" s="1"/>
  <c r="AD211" i="1"/>
  <c r="AE211" i="1" s="1"/>
  <c r="Z511" i="1"/>
  <c r="AA511" i="1" s="1"/>
  <c r="AB511" i="1" s="1"/>
  <c r="Z465" i="1"/>
  <c r="AA465" i="1" s="1"/>
  <c r="AB465" i="1" s="1"/>
  <c r="AC465" i="1" s="1"/>
  <c r="Z505" i="1"/>
  <c r="AA505" i="1" s="1"/>
  <c r="AB505" i="1" s="1"/>
  <c r="Z13" i="1"/>
  <c r="AA13" i="1" s="1"/>
  <c r="AB13" i="1" s="1"/>
  <c r="AC13" i="1" s="1"/>
  <c r="Z491" i="1"/>
  <c r="AA491" i="1" s="1"/>
  <c r="AB491" i="1" s="1"/>
  <c r="AC491" i="1" s="1"/>
  <c r="Z386" i="1"/>
  <c r="AA386" i="1" s="1"/>
  <c r="AB386" i="1" s="1"/>
  <c r="AC386" i="1" s="1"/>
  <c r="Z212" i="1"/>
  <c r="AA212" i="1" s="1"/>
  <c r="AB212" i="1" s="1"/>
  <c r="AC212" i="1" s="1"/>
  <c r="Z343" i="1"/>
  <c r="AA343" i="1" s="1"/>
  <c r="AB343" i="1" s="1"/>
  <c r="AC343" i="1" s="1"/>
  <c r="Z235" i="1"/>
  <c r="AA235" i="1" s="1"/>
  <c r="AB235" i="1" s="1"/>
  <c r="AC235" i="1" s="1"/>
  <c r="AC381" i="1"/>
  <c r="AE381" i="1"/>
  <c r="Z374" i="1"/>
  <c r="AA374" i="1" s="1"/>
  <c r="AB374" i="1" s="1"/>
  <c r="AD374" i="1" s="1"/>
  <c r="Z496" i="1"/>
  <c r="AA496" i="1" s="1"/>
  <c r="AB496" i="1" s="1"/>
  <c r="AC496" i="1" s="1"/>
  <c r="Z59" i="1"/>
  <c r="AA59" i="1" s="1"/>
  <c r="AB59" i="1" s="1"/>
  <c r="AC59" i="1" s="1"/>
  <c r="Z232" i="1"/>
  <c r="AA232" i="1" s="1"/>
  <c r="AB232" i="1" s="1"/>
  <c r="AD232" i="1" s="1"/>
  <c r="AE232" i="1" s="1"/>
  <c r="Z471" i="1"/>
  <c r="AA471" i="1" s="1"/>
  <c r="AB471" i="1" s="1"/>
  <c r="AC471" i="1" s="1"/>
  <c r="Z146" i="1"/>
  <c r="AA146" i="1" s="1"/>
  <c r="AB146" i="1" s="1"/>
  <c r="AC146" i="1" s="1"/>
  <c r="Z237" i="1"/>
  <c r="AA237" i="1" s="1"/>
  <c r="AB237" i="1" s="1"/>
  <c r="AC237" i="1" s="1"/>
  <c r="Z153" i="1"/>
  <c r="AA153" i="1" s="1"/>
  <c r="AB153" i="1" s="1"/>
  <c r="AC153" i="1" s="1"/>
  <c r="Z250" i="1"/>
  <c r="AA250" i="1" s="1"/>
  <c r="AB250" i="1" s="1"/>
  <c r="AD250" i="1" s="1"/>
  <c r="AE250" i="1" s="1"/>
  <c r="Z352" i="1"/>
  <c r="AA352" i="1" s="1"/>
  <c r="AB352" i="1" s="1"/>
  <c r="AD352" i="1" s="1"/>
  <c r="Z485" i="1"/>
  <c r="AA485" i="1" s="1"/>
  <c r="AB485" i="1" s="1"/>
  <c r="Z492" i="1"/>
  <c r="AA492" i="1" s="1"/>
  <c r="AB492" i="1" s="1"/>
  <c r="AC492" i="1" s="1"/>
  <c r="Z144" i="1"/>
  <c r="AA144" i="1" s="1"/>
  <c r="AB144" i="1" s="1"/>
  <c r="AC144" i="1" s="1"/>
  <c r="Z242" i="1"/>
  <c r="AA242" i="1" s="1"/>
  <c r="AB242" i="1" s="1"/>
  <c r="AD242" i="1" s="1"/>
  <c r="Z428" i="1"/>
  <c r="AA428" i="1" s="1"/>
  <c r="AB428" i="1" s="1"/>
  <c r="Z497" i="1"/>
  <c r="AA497" i="1" s="1"/>
  <c r="AB497" i="1" s="1"/>
  <c r="AC497" i="1" s="1"/>
  <c r="Z462" i="1"/>
  <c r="AA462" i="1" s="1"/>
  <c r="AB462" i="1" s="1"/>
  <c r="AD462" i="1" s="1"/>
  <c r="Z27" i="1"/>
  <c r="AA27" i="1" s="1"/>
  <c r="AB27" i="1" s="1"/>
  <c r="AD27" i="1" s="1"/>
  <c r="Z260" i="1"/>
  <c r="AA260" i="1" s="1"/>
  <c r="AB260" i="1" s="1"/>
  <c r="AD260" i="1" s="1"/>
  <c r="AE260" i="1" s="1"/>
  <c r="Z414" i="1"/>
  <c r="AA414" i="1" s="1"/>
  <c r="AB414" i="1" s="1"/>
  <c r="Z363" i="1"/>
  <c r="AA363" i="1" s="1"/>
  <c r="AB363" i="1" s="1"/>
  <c r="Z460" i="1"/>
  <c r="AA460" i="1" s="1"/>
  <c r="AB460" i="1" s="1"/>
  <c r="AC460" i="1" s="1"/>
  <c r="Z26" i="1"/>
  <c r="AA26" i="1" s="1"/>
  <c r="AB26" i="1" s="1"/>
  <c r="AC26" i="1" s="1"/>
  <c r="AD255" i="1"/>
  <c r="AE255" i="1" s="1"/>
  <c r="Z514" i="1"/>
  <c r="AA514" i="1" s="1"/>
  <c r="AB514" i="1" s="1"/>
  <c r="AD514" i="1" s="1"/>
  <c r="Z495" i="1"/>
  <c r="AA495" i="1" s="1"/>
  <c r="AB495" i="1" s="1"/>
  <c r="AC495" i="1" s="1"/>
  <c r="Z475" i="1"/>
  <c r="AA475" i="1" s="1"/>
  <c r="AB475" i="1" s="1"/>
  <c r="AD475" i="1" s="1"/>
  <c r="Z225" i="1"/>
  <c r="AA225" i="1" s="1"/>
  <c r="AB225" i="1" s="1"/>
  <c r="AC225" i="1" s="1"/>
  <c r="Z36" i="1"/>
  <c r="AA36" i="1" s="1"/>
  <c r="AB36" i="1" s="1"/>
  <c r="AC36" i="1" s="1"/>
  <c r="AD472" i="1"/>
  <c r="AE472" i="1" s="1"/>
  <c r="Z234" i="1"/>
  <c r="AA234" i="1" s="1"/>
  <c r="AB234" i="1" s="1"/>
  <c r="AC234" i="1" s="1"/>
  <c r="Z353" i="1"/>
  <c r="AA353" i="1" s="1"/>
  <c r="AB353" i="1" s="1"/>
  <c r="AC353" i="1" s="1"/>
  <c r="Z398" i="1"/>
  <c r="AA398" i="1" s="1"/>
  <c r="AB398" i="1" s="1"/>
  <c r="AC398" i="1" s="1"/>
  <c r="Z214" i="1"/>
  <c r="AA214" i="1" s="1"/>
  <c r="AB214" i="1" s="1"/>
  <c r="AC214" i="1" s="1"/>
  <c r="Z70" i="1"/>
  <c r="AA70" i="1" s="1"/>
  <c r="AB70" i="1" s="1"/>
  <c r="AC70" i="1" s="1"/>
  <c r="Z213" i="1"/>
  <c r="AA213" i="1" s="1"/>
  <c r="AB213" i="1" s="1"/>
  <c r="AD213" i="1" s="1"/>
  <c r="AE213" i="1" s="1"/>
  <c r="Z463" i="1"/>
  <c r="AA463" i="1" s="1"/>
  <c r="AB463" i="1" s="1"/>
  <c r="AC463" i="1" s="1"/>
  <c r="Z473" i="1"/>
  <c r="AA473" i="1" s="1"/>
  <c r="AB473" i="1" s="1"/>
  <c r="AD473" i="1" s="1"/>
  <c r="Z341" i="1"/>
  <c r="AA341" i="1" s="1"/>
  <c r="AB341" i="1" s="1"/>
  <c r="AD341" i="1" s="1"/>
  <c r="Z452" i="1"/>
  <c r="AA452" i="1" s="1"/>
  <c r="AB452" i="1" s="1"/>
  <c r="AD452" i="1" s="1"/>
  <c r="Z245" i="1"/>
  <c r="AA245" i="1" s="1"/>
  <c r="AB245" i="1" s="1"/>
  <c r="AD245" i="1" s="1"/>
  <c r="Z236" i="1"/>
  <c r="AA236" i="1" s="1"/>
  <c r="AB236" i="1" s="1"/>
  <c r="AC236" i="1" s="1"/>
  <c r="Z71" i="1"/>
  <c r="AA71" i="1" s="1"/>
  <c r="AB71" i="1" s="1"/>
  <c r="AC71" i="1" s="1"/>
  <c r="Z2" i="1"/>
  <c r="AA2" i="1" s="1"/>
  <c r="AB2" i="1" s="1"/>
  <c r="AD2" i="1" s="1"/>
  <c r="Z375" i="1"/>
  <c r="AA375" i="1" s="1"/>
  <c r="AB375" i="1" s="1"/>
  <c r="Z22" i="1"/>
  <c r="AA22" i="1" s="1"/>
  <c r="AB22" i="1" s="1"/>
  <c r="AC22" i="1" s="1"/>
  <c r="Z320" i="1"/>
  <c r="AA320" i="1" s="1"/>
  <c r="AB320" i="1" s="1"/>
  <c r="AC320" i="1" s="1"/>
  <c r="Z224" i="1"/>
  <c r="AA224" i="1" s="1"/>
  <c r="AB224" i="1" s="1"/>
  <c r="AD450" i="1"/>
  <c r="AE450" i="1" s="1"/>
  <c r="Z24" i="1"/>
  <c r="AA24" i="1" s="1"/>
  <c r="AB24" i="1" s="1"/>
  <c r="AD24" i="1" s="1"/>
  <c r="AE24" i="1" s="1"/>
  <c r="Z208" i="1"/>
  <c r="AA208" i="1" s="1"/>
  <c r="AB208" i="1" s="1"/>
  <c r="AD208" i="1" s="1"/>
  <c r="AE208" i="1" s="1"/>
  <c r="Z484" i="1"/>
  <c r="AA484" i="1" s="1"/>
  <c r="AB484" i="1" s="1"/>
  <c r="AC384" i="1"/>
  <c r="Z241" i="1"/>
  <c r="AA241" i="1" s="1"/>
  <c r="AB241" i="1" s="1"/>
  <c r="AC241" i="1" s="1"/>
  <c r="Z251" i="1"/>
  <c r="AA251" i="1" s="1"/>
  <c r="AB251" i="1" s="1"/>
  <c r="AC251" i="1" s="1"/>
  <c r="AD507" i="1"/>
  <c r="AE507" i="1" s="1"/>
  <c r="Z340" i="1"/>
  <c r="AA340" i="1" s="1"/>
  <c r="AB340" i="1" s="1"/>
  <c r="AC340" i="1" s="1"/>
  <c r="Z230" i="1"/>
  <c r="AA230" i="1" s="1"/>
  <c r="AB230" i="1" s="1"/>
  <c r="AD230" i="1" s="1"/>
  <c r="AE230" i="1" s="1"/>
  <c r="AD339" i="1"/>
  <c r="AE339" i="1" s="1"/>
  <c r="Z494" i="1"/>
  <c r="AA494" i="1" s="1"/>
  <c r="AB494" i="1" s="1"/>
  <c r="AD494" i="1" s="1"/>
  <c r="Z263" i="1"/>
  <c r="AA263" i="1" s="1"/>
  <c r="AB263" i="1" s="1"/>
  <c r="AC263" i="1" s="1"/>
  <c r="Z438" i="1"/>
  <c r="AA438" i="1" s="1"/>
  <c r="AB438" i="1" s="1"/>
  <c r="AD438" i="1" s="1"/>
  <c r="Z351" i="1"/>
  <c r="AA351" i="1" s="1"/>
  <c r="AB351" i="1" s="1"/>
  <c r="Z48" i="1"/>
  <c r="AA48" i="1" s="1"/>
  <c r="AB48" i="1" s="1"/>
  <c r="AD501" i="1"/>
  <c r="AE501" i="1" s="1"/>
  <c r="AE442" i="1"/>
  <c r="Z49" i="1"/>
  <c r="AA49" i="1" s="1"/>
  <c r="AB49" i="1" s="1"/>
  <c r="Z516" i="1"/>
  <c r="AA516" i="1" s="1"/>
  <c r="AB516" i="1" s="1"/>
  <c r="AD516" i="1" s="1"/>
  <c r="AD427" i="1"/>
  <c r="AE427" i="1" s="1"/>
  <c r="Z257" i="1"/>
  <c r="AA257" i="1" s="1"/>
  <c r="AB257" i="1" s="1"/>
  <c r="AC257" i="1" s="1"/>
  <c r="AE45" i="1"/>
  <c r="Z391" i="1"/>
  <c r="AA391" i="1" s="1"/>
  <c r="AB391" i="1" s="1"/>
  <c r="AC391" i="1" s="1"/>
  <c r="Z464" i="1"/>
  <c r="AA464" i="1" s="1"/>
  <c r="AB464" i="1" s="1"/>
  <c r="AC464" i="1" s="1"/>
  <c r="Z396" i="1"/>
  <c r="AA396" i="1" s="1"/>
  <c r="AB396" i="1" s="1"/>
  <c r="AC396" i="1" s="1"/>
  <c r="Z490" i="1"/>
  <c r="AA490" i="1" s="1"/>
  <c r="AB490" i="1" s="1"/>
  <c r="Z35" i="1"/>
  <c r="AA35" i="1" s="1"/>
  <c r="AB35" i="1" s="1"/>
  <c r="AC35" i="1" s="1"/>
  <c r="Z28" i="1"/>
  <c r="AA28" i="1" s="1"/>
  <c r="AB28" i="1" s="1"/>
  <c r="AD28" i="1" s="1"/>
  <c r="AE28" i="1" s="1"/>
  <c r="Z39" i="1"/>
  <c r="AA39" i="1" s="1"/>
  <c r="AB39" i="1" s="1"/>
  <c r="Z477" i="1"/>
  <c r="AA477" i="1" s="1"/>
  <c r="AB477" i="1" s="1"/>
  <c r="Z488" i="1"/>
  <c r="AA488" i="1" s="1"/>
  <c r="AB488" i="1" s="1"/>
  <c r="AD488" i="1" s="1"/>
  <c r="Z218" i="1"/>
  <c r="AA218" i="1" s="1"/>
  <c r="AB218" i="1" s="1"/>
  <c r="AD218" i="1" s="1"/>
  <c r="AE218" i="1" s="1"/>
  <c r="Z46" i="1"/>
  <c r="AA46" i="1" s="1"/>
  <c r="AB46" i="1" s="1"/>
  <c r="AD46" i="1" s="1"/>
  <c r="AE46" i="1" s="1"/>
  <c r="Z466" i="1"/>
  <c r="AA466" i="1" s="1"/>
  <c r="AB466" i="1" s="1"/>
  <c r="AD466" i="1" s="1"/>
  <c r="AC501" i="1"/>
  <c r="Z440" i="1"/>
  <c r="AA440" i="1" s="1"/>
  <c r="AB440" i="1" s="1"/>
  <c r="AD440" i="1" s="1"/>
  <c r="Z419" i="1"/>
  <c r="AA419" i="1" s="1"/>
  <c r="AB419" i="1" s="1"/>
  <c r="AD419" i="1" s="1"/>
  <c r="Z47" i="1"/>
  <c r="AA47" i="1" s="1"/>
  <c r="AB47" i="1" s="1"/>
  <c r="AC47" i="1" s="1"/>
  <c r="AE456" i="1"/>
  <c r="AC455" i="1"/>
  <c r="AD60" i="1"/>
  <c r="AE60" i="1" s="1"/>
  <c r="Z439" i="1"/>
  <c r="AA439" i="1" s="1"/>
  <c r="AB439" i="1" s="1"/>
  <c r="AC439" i="1" s="1"/>
  <c r="Z510" i="1"/>
  <c r="AA510" i="1" s="1"/>
  <c r="AB510" i="1" s="1"/>
  <c r="AC510" i="1" s="1"/>
  <c r="Z437" i="1"/>
  <c r="AA437" i="1" s="1"/>
  <c r="AB437" i="1" s="1"/>
  <c r="AC437" i="1" s="1"/>
  <c r="Z23" i="1"/>
  <c r="AA23" i="1" s="1"/>
  <c r="AB23" i="1" s="1"/>
  <c r="AC23" i="1" s="1"/>
  <c r="Z69" i="1"/>
  <c r="AA69" i="1" s="1"/>
  <c r="AB69" i="1" s="1"/>
  <c r="AC69" i="1" s="1"/>
  <c r="Z395" i="1"/>
  <c r="AA395" i="1" s="1"/>
  <c r="AB395" i="1" s="1"/>
  <c r="AD395" i="1" s="1"/>
  <c r="Z371" i="1"/>
  <c r="AA371" i="1" s="1"/>
  <c r="AB371" i="1" s="1"/>
  <c r="AC371" i="1" s="1"/>
  <c r="Z358" i="1"/>
  <c r="AA358" i="1" s="1"/>
  <c r="AB358" i="1" s="1"/>
  <c r="AC358" i="1" s="1"/>
  <c r="Z517" i="1"/>
  <c r="AA517" i="1" s="1"/>
  <c r="AB517" i="1" s="1"/>
  <c r="Z493" i="1"/>
  <c r="AA493" i="1" s="1"/>
  <c r="AB493" i="1" s="1"/>
  <c r="Z267" i="1"/>
  <c r="AA267" i="1" s="1"/>
  <c r="AB267" i="1" s="1"/>
  <c r="AD267" i="1" s="1"/>
  <c r="Z5" i="1"/>
  <c r="AA5" i="1" s="1"/>
  <c r="AB5" i="1" s="1"/>
  <c r="Z4" i="1"/>
  <c r="AA4" i="1" s="1"/>
  <c r="AB4" i="1" s="1"/>
  <c r="Z15" i="1"/>
  <c r="AA15" i="1" s="1"/>
  <c r="AB15" i="1" s="1"/>
  <c r="Z3" i="1"/>
  <c r="AA3" i="1" s="1"/>
  <c r="AB3" i="1" s="1"/>
  <c r="Z380" i="1"/>
  <c r="AA380" i="1" s="1"/>
  <c r="AB380" i="1" s="1"/>
  <c r="AD380" i="1" s="1"/>
  <c r="AC513" i="1"/>
  <c r="Z347" i="1"/>
  <c r="AA347" i="1" s="1"/>
  <c r="AB347" i="1" s="1"/>
  <c r="Z254" i="1"/>
  <c r="AA254" i="1" s="1"/>
  <c r="AB254" i="1" s="1"/>
  <c r="AC254" i="1" s="1"/>
  <c r="Z409" i="1"/>
  <c r="AA409" i="1" s="1"/>
  <c r="AB409" i="1" s="1"/>
  <c r="Z512" i="1"/>
  <c r="AA512" i="1" s="1"/>
  <c r="AB512" i="1" s="1"/>
  <c r="Z433" i="1"/>
  <c r="AA433" i="1" s="1"/>
  <c r="AB433" i="1" s="1"/>
  <c r="AD433" i="1" s="1"/>
  <c r="Z33" i="1"/>
  <c r="AA33" i="1" s="1"/>
  <c r="AB33" i="1" s="1"/>
  <c r="AC33" i="1" s="1"/>
  <c r="Z444" i="1"/>
  <c r="AA444" i="1" s="1"/>
  <c r="AB444" i="1" s="1"/>
  <c r="AC444" i="1" s="1"/>
  <c r="Z451" i="1"/>
  <c r="AA451" i="1" s="1"/>
  <c r="AB451" i="1" s="1"/>
  <c r="AD451" i="1" s="1"/>
  <c r="Z58" i="1"/>
  <c r="AA58" i="1" s="1"/>
  <c r="AB58" i="1" s="1"/>
  <c r="AC58" i="1" s="1"/>
  <c r="Z407" i="1"/>
  <c r="AA407" i="1" s="1"/>
  <c r="AB407" i="1" s="1"/>
  <c r="AD407" i="1" s="1"/>
  <c r="Z457" i="1"/>
  <c r="AA457" i="1" s="1"/>
  <c r="AB457" i="1" s="1"/>
  <c r="AC457" i="1" s="1"/>
  <c r="Z233" i="1"/>
  <c r="AA233" i="1" s="1"/>
  <c r="AB233" i="1" s="1"/>
  <c r="AC233" i="1" s="1"/>
  <c r="Z431" i="1"/>
  <c r="AA431" i="1" s="1"/>
  <c r="AB431" i="1" s="1"/>
  <c r="AC7" i="1"/>
  <c r="AD356" i="1"/>
  <c r="AE356" i="1" s="1"/>
  <c r="AD30" i="1"/>
  <c r="AE30" i="1" s="1"/>
  <c r="AC357" i="1"/>
  <c r="AC366" i="1"/>
  <c r="AE429" i="1"/>
  <c r="AD357" i="1"/>
  <c r="AE357" i="1" s="1"/>
  <c r="AC65" i="1"/>
  <c r="AC429" i="1"/>
  <c r="AD443" i="1"/>
  <c r="AE443" i="1" s="1"/>
  <c r="AD421" i="1"/>
  <c r="AE421" i="1" s="1"/>
  <c r="AD364" i="1"/>
  <c r="AE364" i="1" s="1"/>
  <c r="AC476" i="1"/>
  <c r="AC435" i="1"/>
  <c r="AE435" i="1"/>
  <c r="AD216" i="1"/>
  <c r="AE216" i="1" s="1"/>
  <c r="AC220" i="1"/>
  <c r="AD67" i="1"/>
  <c r="AE67" i="1" s="1"/>
  <c r="AD68" i="1"/>
  <c r="AE68" i="1" s="1"/>
  <c r="AC258" i="1"/>
  <c r="AD402" i="1"/>
  <c r="AE402" i="1" s="1"/>
  <c r="AD384" i="1"/>
  <c r="AE384" i="1" s="1"/>
  <c r="AD57" i="1"/>
  <c r="AE57" i="1" s="1"/>
  <c r="AD77" i="1"/>
  <c r="AE77" i="1" s="1"/>
  <c r="AC436" i="1"/>
  <c r="AD392" i="1"/>
  <c r="AE392" i="1" s="1"/>
  <c r="AC54" i="1"/>
  <c r="AC478" i="1"/>
  <c r="AC122" i="1"/>
  <c r="AD29" i="1"/>
  <c r="AE29" i="1" s="1"/>
  <c r="AC118" i="1"/>
  <c r="AC445" i="1"/>
  <c r="AE445" i="1"/>
  <c r="AD370" i="1"/>
  <c r="AE370" i="1" s="1"/>
  <c r="AD38" i="1"/>
  <c r="AE38" i="1" s="1"/>
  <c r="AD400" i="1"/>
  <c r="AE400" i="1" s="1"/>
  <c r="AD367" i="1"/>
  <c r="AE367" i="1" s="1"/>
  <c r="AD103" i="1"/>
  <c r="AE103" i="1" s="1"/>
  <c r="AC423" i="1"/>
  <c r="AD401" i="1"/>
  <c r="AE401" i="1" s="1"/>
  <c r="AD415" i="1"/>
  <c r="AE415" i="1" s="1"/>
  <c r="AC107" i="1"/>
  <c r="AD37" i="1"/>
  <c r="AE37" i="1" s="1"/>
  <c r="AC373" i="1"/>
  <c r="AE373" i="1"/>
  <c r="AC503" i="1"/>
  <c r="AD408" i="1"/>
  <c r="AE408" i="1" s="1"/>
  <c r="AE476" i="1"/>
  <c r="AE470" i="1"/>
  <c r="AC406" i="1"/>
  <c r="AD190" i="1"/>
  <c r="AE190" i="1" s="1"/>
  <c r="AD399" i="1"/>
  <c r="AE399" i="1" s="1"/>
  <c r="AC470" i="1"/>
  <c r="AC276" i="1"/>
  <c r="AE406" i="1"/>
  <c r="AE480" i="1"/>
  <c r="AC480" i="1"/>
  <c r="AE425" i="1"/>
  <c r="AD170" i="1"/>
  <c r="AE170" i="1" s="1"/>
  <c r="AD354" i="1"/>
  <c r="AE354" i="1" s="1"/>
  <c r="AC425" i="1"/>
  <c r="AD53" i="1"/>
  <c r="AE53" i="1" s="1"/>
  <c r="AD32" i="1"/>
  <c r="AE32" i="1" s="1"/>
  <c r="AD405" i="1"/>
  <c r="AE405" i="1" s="1"/>
  <c r="AD376" i="1"/>
  <c r="AE376" i="1" s="1"/>
  <c r="AC148" i="1"/>
  <c r="AC499" i="1"/>
  <c r="AD424" i="1"/>
  <c r="AE424" i="1" s="1"/>
  <c r="AC350" i="1"/>
  <c r="AD61" i="1"/>
  <c r="AE61" i="1" s="1"/>
  <c r="AE148" i="1"/>
  <c r="AD350" i="1"/>
  <c r="AE350" i="1" s="1"/>
  <c r="AD454" i="1"/>
  <c r="AE454" i="1" s="1"/>
  <c r="AD362" i="1"/>
  <c r="AE362" i="1" s="1"/>
  <c r="AD412" i="1"/>
  <c r="AE412" i="1" s="1"/>
  <c r="AE423" i="1"/>
  <c r="AC405" i="1"/>
  <c r="AC412" i="1"/>
  <c r="AD66" i="1"/>
  <c r="AE66" i="1" s="1"/>
  <c r="AD42" i="1"/>
  <c r="AE42" i="1" s="1"/>
  <c r="AD388" i="1"/>
  <c r="AE388" i="1" s="1"/>
  <c r="AD366" i="1"/>
  <c r="AE366" i="1" s="1"/>
  <c r="AE469" i="1"/>
  <c r="AC469" i="1"/>
  <c r="AE452" i="1"/>
  <c r="AD246" i="1"/>
  <c r="AE246" i="1" s="1"/>
  <c r="AD453" i="1"/>
  <c r="AE453" i="1" s="1"/>
  <c r="AD478" i="1"/>
  <c r="AE478" i="1" s="1"/>
  <c r="AE436" i="1"/>
  <c r="AD394" i="1"/>
  <c r="AE394" i="1" s="1"/>
  <c r="AE63" i="1"/>
  <c r="AD382" i="1"/>
  <c r="AE382" i="1" s="1"/>
  <c r="AC382" i="1"/>
  <c r="AC25" i="1"/>
  <c r="AC311" i="1"/>
  <c r="AC239" i="1"/>
  <c r="AD161" i="1"/>
  <c r="AE161" i="1" s="1"/>
  <c r="AC152" i="1"/>
  <c r="AD18" i="1"/>
  <c r="AE18" i="1" s="1"/>
  <c r="AE461" i="1"/>
  <c r="AC461" i="1"/>
  <c r="AC63" i="1"/>
  <c r="AC422" i="1"/>
  <c r="AD342" i="1"/>
  <c r="AE342" i="1" s="1"/>
  <c r="AC115" i="1"/>
  <c r="AD115" i="1"/>
  <c r="AE115" i="1" s="1"/>
  <c r="AE389" i="1"/>
  <c r="AC89" i="1"/>
  <c r="AD499" i="1"/>
  <c r="AE499" i="1" s="1"/>
  <c r="AC389" i="1"/>
  <c r="AD422" i="1"/>
  <c r="AE422" i="1" s="1"/>
  <c r="AC441" i="1"/>
  <c r="AC166" i="1"/>
  <c r="AD349" i="1"/>
  <c r="AE349" i="1" s="1"/>
  <c r="AC76" i="1"/>
  <c r="AD383" i="1"/>
  <c r="AE383" i="1" s="1"/>
  <c r="AE410" i="1"/>
  <c r="AC10" i="1"/>
  <c r="AD434" i="1"/>
  <c r="AE434" i="1" s="1"/>
  <c r="AD458" i="1"/>
  <c r="AE458" i="1" s="1"/>
  <c r="AD293" i="1"/>
  <c r="AE293" i="1" s="1"/>
  <c r="AC410" i="1"/>
  <c r="AC453" i="1"/>
  <c r="AD377" i="1"/>
  <c r="AE377" i="1" s="1"/>
  <c r="AD94" i="1"/>
  <c r="AE94" i="1" s="1"/>
  <c r="AE311" i="1"/>
  <c r="AC489" i="1"/>
  <c r="AD489" i="1"/>
  <c r="AE489" i="1" s="1"/>
  <c r="AD121" i="1"/>
  <c r="AE121" i="1" s="1"/>
  <c r="AC121" i="1"/>
  <c r="AC207" i="1"/>
  <c r="AD207" i="1"/>
  <c r="AE207" i="1" s="1"/>
  <c r="AC112" i="1"/>
  <c r="AD112" i="1"/>
  <c r="AE112" i="1" s="1"/>
  <c r="AD202" i="1"/>
  <c r="AE202" i="1" s="1"/>
  <c r="AC447" i="1"/>
  <c r="AD441" i="1"/>
  <c r="AE441" i="1" s="1"/>
  <c r="AD265" i="1"/>
  <c r="AE265" i="1" s="1"/>
  <c r="AC265" i="1"/>
  <c r="AD149" i="1"/>
  <c r="AE149" i="1" s="1"/>
  <c r="AD6" i="1"/>
  <c r="AE6" i="1" s="1"/>
  <c r="AC502" i="1"/>
  <c r="AD387" i="1"/>
  <c r="AE387" i="1" s="1"/>
  <c r="AE502" i="1"/>
  <c r="AC411" i="1"/>
  <c r="AC149" i="1"/>
  <c r="AD467" i="1"/>
  <c r="AE467" i="1" s="1"/>
  <c r="AE446" i="1"/>
  <c r="AD504" i="1"/>
  <c r="AE504" i="1" s="1"/>
  <c r="AC504" i="1"/>
  <c r="AD141" i="1"/>
  <c r="AE141" i="1" s="1"/>
  <c r="AC210" i="1"/>
  <c r="AC446" i="1"/>
  <c r="AD411" i="1"/>
  <c r="AE411" i="1" s="1"/>
  <c r="AD416" i="1"/>
  <c r="AE416" i="1" s="1"/>
  <c r="AC416" i="1"/>
  <c r="AC117" i="1"/>
  <c r="AC81" i="1"/>
  <c r="AD390" i="1"/>
  <c r="AE390" i="1" s="1"/>
  <c r="AD379" i="1"/>
  <c r="AE379" i="1" s="1"/>
  <c r="AC379" i="1"/>
  <c r="AE447" i="1"/>
  <c r="AD88" i="1"/>
  <c r="AE88" i="1" s="1"/>
  <c r="AD486" i="1"/>
  <c r="AE486" i="1" s="1"/>
  <c r="AC390" i="1"/>
  <c r="AD500" i="1"/>
  <c r="AE500" i="1" s="1"/>
  <c r="AD404" i="1"/>
  <c r="AE404" i="1" s="1"/>
  <c r="AD487" i="1"/>
  <c r="AE487" i="1" s="1"/>
  <c r="AC487" i="1"/>
  <c r="AC172" i="1"/>
  <c r="AD172" i="1"/>
  <c r="AE172" i="1" s="1"/>
  <c r="AD40" i="1"/>
  <c r="AE40" i="1" s="1"/>
  <c r="AC40" i="1"/>
  <c r="AD361" i="1"/>
  <c r="AE361" i="1" s="1"/>
  <c r="AC361" i="1"/>
  <c r="AD16" i="1"/>
  <c r="AE16" i="1" s="1"/>
  <c r="AC16" i="1"/>
  <c r="AC101" i="1"/>
  <c r="AD101" i="1"/>
  <c r="AE101" i="1" s="1"/>
  <c r="AC481" i="1"/>
  <c r="AD481" i="1"/>
  <c r="AE481" i="1" s="1"/>
  <c r="AC8" i="1"/>
  <c r="AD8" i="1"/>
  <c r="AE8" i="1" s="1"/>
  <c r="AD372" i="1"/>
  <c r="AE372" i="1" s="1"/>
  <c r="AC372" i="1"/>
  <c r="AD128" i="1"/>
  <c r="AE128" i="1" s="1"/>
  <c r="AC128" i="1"/>
  <c r="AC100" i="1"/>
  <c r="AD100" i="1"/>
  <c r="AE100" i="1" s="1"/>
  <c r="AD199" i="1"/>
  <c r="AE199" i="1" s="1"/>
  <c r="AC199" i="1"/>
  <c r="AD187" i="1"/>
  <c r="AE187" i="1" s="1"/>
  <c r="AC187" i="1"/>
  <c r="AC518" i="1"/>
  <c r="AD518" i="1"/>
  <c r="AE518" i="1" s="1"/>
  <c r="AD195" i="1"/>
  <c r="AE195" i="1" s="1"/>
  <c r="AC195" i="1"/>
  <c r="AD326" i="1"/>
  <c r="AE326" i="1" s="1"/>
  <c r="AC326" i="1"/>
  <c r="AC223" i="1"/>
  <c r="AD223" i="1"/>
  <c r="AE223" i="1" s="1"/>
  <c r="AC127" i="1"/>
  <c r="AD127" i="1"/>
  <c r="AE127" i="1" s="1"/>
  <c r="AC282" i="1"/>
  <c r="AD282" i="1"/>
  <c r="AE282" i="1" s="1"/>
  <c r="AC209" i="1"/>
  <c r="AD209" i="1"/>
  <c r="AE209" i="1" s="1"/>
  <c r="AD243" i="1"/>
  <c r="AE243" i="1" s="1"/>
  <c r="AC243" i="1"/>
  <c r="AC192" i="1"/>
  <c r="AD192" i="1"/>
  <c r="AE192" i="1" s="1"/>
  <c r="AD181" i="1"/>
  <c r="AE181" i="1" s="1"/>
  <c r="AC181" i="1"/>
  <c r="AD126" i="1"/>
  <c r="AE126" i="1" s="1"/>
  <c r="AC126" i="1"/>
  <c r="AC188" i="1"/>
  <c r="AD188" i="1"/>
  <c r="AE188" i="1" s="1"/>
  <c r="AC125" i="1"/>
  <c r="AD125" i="1"/>
  <c r="AE125" i="1" s="1"/>
  <c r="AC111" i="1"/>
  <c r="AD111" i="1"/>
  <c r="AE111" i="1" s="1"/>
  <c r="AD468" i="1"/>
  <c r="AE468" i="1" s="1"/>
  <c r="AC468" i="1"/>
  <c r="AC136" i="1"/>
  <c r="AD136" i="1"/>
  <c r="AE136" i="1" s="1"/>
  <c r="AC151" i="1"/>
  <c r="AD151" i="1"/>
  <c r="AE151" i="1" s="1"/>
  <c r="AC177" i="1"/>
  <c r="AD177" i="1"/>
  <c r="AE177" i="1" s="1"/>
  <c r="AE479" i="1"/>
  <c r="AC420" i="1"/>
  <c r="AD420" i="1"/>
  <c r="AE420" i="1" s="1"/>
  <c r="AE116" i="1"/>
  <c r="AD83" i="1"/>
  <c r="AE83" i="1" s="1"/>
  <c r="AC479" i="1"/>
  <c r="AD348" i="1"/>
  <c r="AE348" i="1" s="1"/>
  <c r="AC348" i="1"/>
  <c r="AD109" i="1"/>
  <c r="AE109" i="1" s="1"/>
  <c r="AC109" i="1"/>
  <c r="AA509" i="1"/>
  <c r="AB509" i="1" s="1"/>
  <c r="AE210" i="1"/>
  <c r="AD153" i="1"/>
  <c r="AE153" i="1" s="1"/>
  <c r="AD146" i="1"/>
  <c r="AE146" i="1" s="1"/>
  <c r="AC508" i="1"/>
  <c r="AD508" i="1"/>
  <c r="AE508" i="1" s="1"/>
  <c r="AD17" i="1"/>
  <c r="AE17" i="1" s="1"/>
  <c r="AC17" i="1"/>
  <c r="AA365" i="1"/>
  <c r="AB365" i="1" s="1"/>
  <c r="AD140" i="1"/>
  <c r="AE140" i="1" s="1"/>
  <c r="AC323" i="1"/>
  <c r="AC116" i="1"/>
  <c r="AD247" i="1"/>
  <c r="AE247" i="1" s="1"/>
  <c r="AE323" i="1"/>
  <c r="AE275" i="1"/>
  <c r="AC219" i="1"/>
  <c r="AD219" i="1"/>
  <c r="AE219" i="1" s="1"/>
  <c r="AD145" i="1"/>
  <c r="AE145" i="1" s="1"/>
  <c r="AC369" i="1"/>
  <c r="AD432" i="1"/>
  <c r="AE432" i="1" s="1"/>
  <c r="AC275" i="1"/>
  <c r="AD56" i="1"/>
  <c r="AE56" i="1" s="1"/>
  <c r="AD222" i="1"/>
  <c r="AE222" i="1" s="1"/>
  <c r="AC222" i="1"/>
  <c r="AC185" i="1"/>
  <c r="AD185" i="1"/>
  <c r="AE185" i="1" s="1"/>
  <c r="AC175" i="1"/>
  <c r="AD175" i="1"/>
  <c r="AE175" i="1" s="1"/>
  <c r="AD50" i="1"/>
  <c r="AE50" i="1" s="1"/>
  <c r="AD369" i="1"/>
  <c r="AE369" i="1" s="1"/>
  <c r="AC432" i="1"/>
  <c r="AD97" i="1"/>
  <c r="AE97" i="1" s="1"/>
  <c r="AC97" i="1"/>
  <c r="AC50" i="1"/>
  <c r="AD515" i="1"/>
  <c r="AE515" i="1" s="1"/>
  <c r="AD74" i="1"/>
  <c r="AE74" i="1" s="1"/>
  <c r="AD26" i="1"/>
  <c r="AE26" i="1" s="1"/>
  <c r="AD191" i="1"/>
  <c r="AE191" i="1" s="1"/>
  <c r="AD503" i="1"/>
  <c r="AE503" i="1" s="1"/>
  <c r="AC129" i="1"/>
  <c r="AC201" i="1"/>
  <c r="AD201" i="1"/>
  <c r="AE201" i="1" s="1"/>
  <c r="AE261" i="1" l="1"/>
  <c r="AD19" i="1"/>
  <c r="AE19" i="1" s="1"/>
  <c r="AD254" i="1"/>
  <c r="AE254" i="1" s="1"/>
  <c r="AD55" i="1"/>
  <c r="AE55" i="1" s="1"/>
  <c r="AC262" i="1"/>
  <c r="AC51" i="1"/>
  <c r="AD251" i="1"/>
  <c r="AE251" i="1" s="1"/>
  <c r="AD35" i="1"/>
  <c r="AE35" i="1" s="1"/>
  <c r="AC256" i="1"/>
  <c r="AD43" i="1"/>
  <c r="AE43" i="1" s="1"/>
  <c r="AD31" i="1"/>
  <c r="AE31" i="1" s="1"/>
  <c r="AD13" i="1"/>
  <c r="AE13" i="1" s="1"/>
  <c r="AC21" i="1"/>
  <c r="AC261" i="1"/>
  <c r="AC213" i="1"/>
  <c r="AD244" i="1"/>
  <c r="AE244" i="1" s="1"/>
  <c r="AD20" i="1"/>
  <c r="AE20" i="1" s="1"/>
  <c r="AE204" i="1"/>
  <c r="AC217" i="1"/>
  <c r="AD64" i="1"/>
  <c r="AE64" i="1" s="1"/>
  <c r="AD225" i="1"/>
  <c r="AE225" i="1" s="1"/>
  <c r="AD62" i="1"/>
  <c r="AE62" i="1" s="1"/>
  <c r="AC215" i="1"/>
  <c r="AC204" i="1"/>
  <c r="AD465" i="1"/>
  <c r="AC46" i="1"/>
  <c r="AC27" i="1"/>
  <c r="AC452" i="1"/>
  <c r="AC231" i="1"/>
  <c r="AC466" i="1"/>
  <c r="AC24" i="1"/>
  <c r="AE27" i="1"/>
  <c r="AC34" i="1"/>
  <c r="AD52" i="1"/>
  <c r="AE52" i="1" s="1"/>
  <c r="AE466" i="1"/>
  <c r="AD9" i="1"/>
  <c r="AE9" i="1" s="1"/>
  <c r="AD41" i="1"/>
  <c r="AE41" i="1" s="1"/>
  <c r="AD214" i="1"/>
  <c r="AE214" i="1" s="1"/>
  <c r="AC230" i="1"/>
  <c r="AC232" i="1"/>
  <c r="AD221" i="1"/>
  <c r="AE221" i="1" s="1"/>
  <c r="AD22" i="1"/>
  <c r="AE22" i="1" s="1"/>
  <c r="AD70" i="1"/>
  <c r="AE70" i="1" s="1"/>
  <c r="AC226" i="1"/>
  <c r="AD11" i="1"/>
  <c r="AE11" i="1" s="1"/>
  <c r="AC2" i="1"/>
  <c r="AE2" i="1"/>
  <c r="AE14" i="1"/>
  <c r="AC253" i="1"/>
  <c r="AC14" i="1"/>
  <c r="AD460" i="1"/>
  <c r="AE460" i="1" s="1"/>
  <c r="AC218" i="1"/>
  <c r="AC514" i="1"/>
  <c r="AE514" i="1"/>
  <c r="AD511" i="1"/>
  <c r="AE511" i="1" s="1"/>
  <c r="AC511" i="1"/>
  <c r="AD510" i="1"/>
  <c r="AE510" i="1" s="1"/>
  <c r="AC498" i="1"/>
  <c r="AD498" i="1"/>
  <c r="AE498" i="1" s="1"/>
  <c r="AD497" i="1"/>
  <c r="AE497" i="1" s="1"/>
  <c r="AD495" i="1"/>
  <c r="AE495" i="1" s="1"/>
  <c r="AE494" i="1"/>
  <c r="AD491" i="1"/>
  <c r="AE491" i="1" s="1"/>
  <c r="AC473" i="1"/>
  <c r="AE473" i="1"/>
  <c r="AD471" i="1"/>
  <c r="AE471" i="1" s="1"/>
  <c r="AE465" i="1"/>
  <c r="AD464" i="1"/>
  <c r="AE464" i="1" s="1"/>
  <c r="AD448" i="1"/>
  <c r="AE448" i="1" s="1"/>
  <c r="AD437" i="1"/>
  <c r="AE437" i="1" s="1"/>
  <c r="AD430" i="1"/>
  <c r="AE430" i="1" s="1"/>
  <c r="AC428" i="1"/>
  <c r="AD428" i="1"/>
  <c r="AE428" i="1" s="1"/>
  <c r="AD426" i="1"/>
  <c r="AE426" i="1" s="1"/>
  <c r="AC418" i="1"/>
  <c r="AE418" i="1"/>
  <c r="AC413" i="1"/>
  <c r="AC409" i="1"/>
  <c r="AD409" i="1"/>
  <c r="AE409" i="1" s="1"/>
  <c r="AD398" i="1"/>
  <c r="AE398" i="1" s="1"/>
  <c r="AD396" i="1"/>
  <c r="AE396" i="1" s="1"/>
  <c r="AE393" i="1"/>
  <c r="AC393" i="1"/>
  <c r="AD391" i="1"/>
  <c r="AE391" i="1" s="1"/>
  <c r="AD385" i="1"/>
  <c r="AE385" i="1" s="1"/>
  <c r="AD378" i="1"/>
  <c r="AE378" i="1" s="1"/>
  <c r="AD375" i="1"/>
  <c r="AE375" i="1" s="1"/>
  <c r="AC375" i="1"/>
  <c r="AD368" i="1"/>
  <c r="AE368" i="1" s="1"/>
  <c r="AC360" i="1"/>
  <c r="AE360" i="1"/>
  <c r="AC355" i="1"/>
  <c r="AE355" i="1"/>
  <c r="AC352" i="1"/>
  <c r="AE352" i="1"/>
  <c r="AD346" i="1"/>
  <c r="AE346" i="1" s="1"/>
  <c r="AD319" i="1"/>
  <c r="AE319" i="1" s="1"/>
  <c r="AC318" i="1"/>
  <c r="AD505" i="1"/>
  <c r="AE505" i="1" s="1"/>
  <c r="AD266" i="1"/>
  <c r="AE266" i="1" s="1"/>
  <c r="AE245" i="1"/>
  <c r="AD274" i="1"/>
  <c r="AE274" i="1" s="1"/>
  <c r="AE417" i="1"/>
  <c r="AC245" i="1"/>
  <c r="AE318" i="1"/>
  <c r="AE344" i="1"/>
  <c r="AE413" i="1"/>
  <c r="AC505" i="1"/>
  <c r="AC417" i="1"/>
  <c r="AC344" i="1"/>
  <c r="AE482" i="1"/>
  <c r="AD444" i="1"/>
  <c r="AE444" i="1" s="1"/>
  <c r="AD517" i="1"/>
  <c r="AE517" i="1" s="1"/>
  <c r="AC252" i="1"/>
  <c r="AE403" i="1"/>
  <c r="AC321" i="1"/>
  <c r="AC433" i="1"/>
  <c r="AC403" i="1"/>
  <c r="AE374" i="1"/>
  <c r="AC208" i="1"/>
  <c r="AD483" i="1"/>
  <c r="AE483" i="1" s="1"/>
  <c r="AD71" i="1"/>
  <c r="AE71" i="1" s="1"/>
  <c r="AD236" i="1"/>
  <c r="AE236" i="1" s="1"/>
  <c r="AC482" i="1"/>
  <c r="AD353" i="1"/>
  <c r="AE353" i="1" s="1"/>
  <c r="AE433" i="1"/>
  <c r="AD363" i="1"/>
  <c r="AE363" i="1" s="1"/>
  <c r="AC477" i="1"/>
  <c r="AC484" i="1"/>
  <c r="AD241" i="1"/>
  <c r="AE241" i="1" s="1"/>
  <c r="AD351" i="1"/>
  <c r="AE351" i="1" s="1"/>
  <c r="AD59" i="1"/>
  <c r="AE59" i="1" s="1"/>
  <c r="AD340" i="1"/>
  <c r="AE340" i="1" s="1"/>
  <c r="AE321" i="1"/>
  <c r="AD477" i="1"/>
  <c r="AE477" i="1" s="1"/>
  <c r="AC397" i="1"/>
  <c r="AC351" i="1"/>
  <c r="AD439" i="1"/>
  <c r="AE439" i="1" s="1"/>
  <c r="AD12" i="1"/>
  <c r="AE12" i="1" s="1"/>
  <c r="AD496" i="1"/>
  <c r="AE496" i="1" s="1"/>
  <c r="AD144" i="1"/>
  <c r="AE144" i="1" s="1"/>
  <c r="AD234" i="1"/>
  <c r="AE234" i="1" s="1"/>
  <c r="AD414" i="1"/>
  <c r="AE414" i="1" s="1"/>
  <c r="AE397" i="1"/>
  <c r="AD263" i="1"/>
  <c r="AE263" i="1" s="1"/>
  <c r="AD449" i="1"/>
  <c r="AE449" i="1" s="1"/>
  <c r="AC374" i="1"/>
  <c r="AC242" i="1"/>
  <c r="AE242" i="1"/>
  <c r="AC485" i="1"/>
  <c r="AC363" i="1"/>
  <c r="AC414" i="1"/>
  <c r="AD492" i="1"/>
  <c r="AE492" i="1" s="1"/>
  <c r="AD485" i="1"/>
  <c r="AE485" i="1" s="1"/>
  <c r="AC483" i="1"/>
  <c r="AC438" i="1"/>
  <c r="AC494" i="1"/>
  <c r="AD484" i="1"/>
  <c r="AE484" i="1" s="1"/>
  <c r="AE438" i="1"/>
  <c r="AC28" i="1"/>
  <c r="AE475" i="1"/>
  <c r="AC490" i="1"/>
  <c r="AD343" i="1"/>
  <c r="AE343" i="1" s="1"/>
  <c r="AD237" i="1"/>
  <c r="AE237" i="1" s="1"/>
  <c r="AD212" i="1"/>
  <c r="AE212" i="1" s="1"/>
  <c r="AD463" i="1"/>
  <c r="AE463" i="1" s="1"/>
  <c r="AD235" i="1"/>
  <c r="AE235" i="1" s="1"/>
  <c r="AE440" i="1"/>
  <c r="AD386" i="1"/>
  <c r="AE386" i="1" s="1"/>
  <c r="AD36" i="1"/>
  <c r="AE36" i="1" s="1"/>
  <c r="AE419" i="1"/>
  <c r="AC224" i="1"/>
  <c r="AD224" i="1"/>
  <c r="AE224" i="1" s="1"/>
  <c r="AC462" i="1"/>
  <c r="AE516" i="1"/>
  <c r="AC516" i="1"/>
  <c r="AC475" i="1"/>
  <c r="AD23" i="1"/>
  <c r="AE23" i="1" s="1"/>
  <c r="AC260" i="1"/>
  <c r="AE462" i="1"/>
  <c r="AE341" i="1"/>
  <c r="AC512" i="1"/>
  <c r="AD512" i="1"/>
  <c r="AE512" i="1" s="1"/>
  <c r="AD490" i="1"/>
  <c r="AE490" i="1" s="1"/>
  <c r="AD69" i="1"/>
  <c r="AE69" i="1" s="1"/>
  <c r="AD371" i="1"/>
  <c r="AE371" i="1" s="1"/>
  <c r="AD33" i="1"/>
  <c r="AE33" i="1" s="1"/>
  <c r="AE451" i="1"/>
  <c r="AC341" i="1"/>
  <c r="AC419" i="1"/>
  <c r="AC440" i="1"/>
  <c r="AC250" i="1"/>
  <c r="AD320" i="1"/>
  <c r="AE320" i="1" s="1"/>
  <c r="AC347" i="1"/>
  <c r="AE380" i="1"/>
  <c r="AD358" i="1"/>
  <c r="AE358" i="1" s="1"/>
  <c r="AC39" i="1"/>
  <c r="AD39" i="1"/>
  <c r="AE39" i="1" s="1"/>
  <c r="AC380" i="1"/>
  <c r="AE395" i="1"/>
  <c r="AD257" i="1"/>
  <c r="AE257" i="1" s="1"/>
  <c r="AD47" i="1"/>
  <c r="AE47" i="1" s="1"/>
  <c r="AD347" i="1"/>
  <c r="AE347" i="1" s="1"/>
  <c r="AD49" i="1"/>
  <c r="AE49" i="1" s="1"/>
  <c r="AC49" i="1"/>
  <c r="AE267" i="1"/>
  <c r="AD58" i="1"/>
  <c r="AE58" i="1" s="1"/>
  <c r="AC267" i="1"/>
  <c r="AC3" i="1"/>
  <c r="AD3" i="1"/>
  <c r="AE3" i="1" s="1"/>
  <c r="AD457" i="1"/>
  <c r="AE457" i="1" s="1"/>
  <c r="AC395" i="1"/>
  <c r="AC4" i="1"/>
  <c r="AD4" i="1"/>
  <c r="AE4" i="1" s="1"/>
  <c r="AC488" i="1"/>
  <c r="AD493" i="1"/>
  <c r="AE493" i="1" s="1"/>
  <c r="AC15" i="1"/>
  <c r="AD15" i="1"/>
  <c r="AE15" i="1" s="1"/>
  <c r="AD233" i="1"/>
  <c r="AE233" i="1" s="1"/>
  <c r="AC407" i="1"/>
  <c r="AC517" i="1"/>
  <c r="AC5" i="1"/>
  <c r="AD5" i="1"/>
  <c r="AE5" i="1" s="1"/>
  <c r="AC48" i="1"/>
  <c r="AD48" i="1"/>
  <c r="AE48" i="1" s="1"/>
  <c r="AE488" i="1"/>
  <c r="AE407" i="1"/>
  <c r="AC451" i="1"/>
  <c r="AC493" i="1"/>
  <c r="AD431" i="1"/>
  <c r="AE431" i="1" s="1"/>
  <c r="AC431" i="1"/>
  <c r="AD509" i="1"/>
  <c r="AE509" i="1" s="1"/>
  <c r="AC509" i="1"/>
  <c r="AC474" i="1"/>
  <c r="AD474" i="1"/>
  <c r="AE474" i="1" s="1"/>
  <c r="AD365" i="1"/>
  <c r="AE365" i="1" s="1"/>
  <c r="AC36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<sst xmlns="http://schemas.openxmlformats.org/spreadsheetml/2006/main" count="11218" uniqueCount="2562">
  <si>
    <t>station_id</t>
  </si>
  <si>
    <t>plug_id</t>
  </si>
  <si>
    <t>station_name</t>
  </si>
  <si>
    <t>operator</t>
  </si>
  <si>
    <t>address</t>
  </si>
  <si>
    <t>city</t>
  </si>
  <si>
    <t>district</t>
  </si>
  <si>
    <t>province</t>
  </si>
  <si>
    <t>connector_type</t>
  </si>
  <si>
    <t>charging_mode</t>
  </si>
  <si>
    <t>power_kw_dc</t>
  </si>
  <si>
    <t>power_kw_ac</t>
  </si>
  <si>
    <t>power_kw_max</t>
  </si>
  <si>
    <t>power_source_detail</t>
  </si>
  <si>
    <t>plug_count</t>
  </si>
  <si>
    <t>contact</t>
  </si>
  <si>
    <t>map_url</t>
  </si>
  <si>
    <t>status</t>
  </si>
  <si>
    <t>rating</t>
  </si>
  <si>
    <t>source</t>
  </si>
  <si>
    <t>verified</t>
  </si>
  <si>
    <t>assumption_flag</t>
  </si>
  <si>
    <t>last_verified</t>
  </si>
  <si>
    <t>EVNP-0001</t>
  </si>
  <si>
    <t>EVNP-0001-P1</t>
  </si>
  <si>
    <t>Abukhaireni</t>
  </si>
  <si>
    <t>NEA</t>
  </si>
  <si>
    <t>Not Available</t>
  </si>
  <si>
    <t>CCS2</t>
  </si>
  <si>
    <t>DC</t>
  </si>
  <si>
    <t>120.0</t>
  </si>
  <si>
    <t>plug_type='CCS2' | power_type='120Kw - DC, 22Kw - AC'</t>
  </si>
  <si>
    <t>https://www.google.com/maps/search/?api=1&amp;query=Abukhaireni%2C%20Abukhaireni</t>
  </si>
  <si>
    <t>Listed</t>
  </si>
  <si>
    <t>chargingstationsnepal.com (workbook: EV_Station_Data.xlsx, brand/partner network compilation)</t>
  </si>
  <si>
    <t>NO</t>
  </si>
  <si>
    <t>YES</t>
  </si>
  <si>
    <t>2026-09-03</t>
  </si>
  <si>
    <t>EVNP-0001-P2</t>
  </si>
  <si>
    <t>AC</t>
  </si>
  <si>
    <t>22.0</t>
  </si>
  <si>
    <t>EVNP-0002</t>
  </si>
  <si>
    <t>EVNP-0002-P1</t>
  </si>
  <si>
    <t>Kurintar</t>
  </si>
  <si>
    <t>https://www.google.com/maps/search/?api=1&amp;query=Kurintar%2C%20Kurintar</t>
  </si>
  <si>
    <t>EVNP-0002-P2</t>
  </si>
  <si>
    <t>EVNP-0003</t>
  </si>
  <si>
    <t>EVNP-0003-P1</t>
  </si>
  <si>
    <t>Charaudi</t>
  </si>
  <si>
    <t>https://www.google.com/maps/search/?api=1&amp;query=Charaudi%2C%20Charaudi</t>
  </si>
  <si>
    <t>EVNP-0003-P2</t>
  </si>
  <si>
    <t>EVNP-0004</t>
  </si>
  <si>
    <t>EVNP-0004-P1</t>
  </si>
  <si>
    <t>Dolakha</t>
  </si>
  <si>
    <t>Bagmati</t>
  </si>
  <si>
    <t>https://www.google.com/maps/search/?api=1&amp;query=Dolakha%2C%20Dolakha</t>
  </si>
  <si>
    <t>EVNP-0004-P2</t>
  </si>
  <si>
    <t>EVNP-0005</t>
  </si>
  <si>
    <t>EVNP-0005-P1</t>
  </si>
  <si>
    <t>Dhulikhel</t>
  </si>
  <si>
    <t>https://www.google.com/maps/search/?api=1&amp;query=Dhulikhel%2C%20Dhulikhel</t>
  </si>
  <si>
    <t>EVNP-0005-P2</t>
  </si>
  <si>
    <t>EVNP-0006</t>
  </si>
  <si>
    <t>EVNP-0006-P1</t>
  </si>
  <si>
    <t>Dharke</t>
  </si>
  <si>
    <t>https://www.google.com/maps/search/?api=1&amp;query=Dharke%2C%20Dharke</t>
  </si>
  <si>
    <t>EVNP-0006-P2</t>
  </si>
  <si>
    <t>EVNP-0007</t>
  </si>
  <si>
    <t>EVNP-0007-P1</t>
  </si>
  <si>
    <t>Mugling</t>
  </si>
  <si>
    <t>https://www.google.com/maps/search/?api=1&amp;query=Mugling%2C%20Mugling</t>
  </si>
  <si>
    <t>EVNP-0007-P2</t>
  </si>
  <si>
    <t>EVNP-0008</t>
  </si>
  <si>
    <t>EVNP-0008-P1</t>
  </si>
  <si>
    <t>Paras Bus Park, Chitwan</t>
  </si>
  <si>
    <t>Chitwan</t>
  </si>
  <si>
    <t>https://www.google.com/maps/search/?api=1&amp;query=Paras%20Bus%20Park%2C%20Chitwan%2C%20Paras%20Bus%20Park%2C%20Chitwan</t>
  </si>
  <si>
    <t>EVNP-0008-P2</t>
  </si>
  <si>
    <t>EVNP-0009</t>
  </si>
  <si>
    <t>EVNP-0009-P1</t>
  </si>
  <si>
    <t>Khurkot, Sindhuli</t>
  </si>
  <si>
    <t>Khurkot</t>
  </si>
  <si>
    <t>Sindhuli</t>
  </si>
  <si>
    <t>https://www.google.com/maps/search/?api=1&amp;query=Khurkot%2C%20Sindhuli%2C%20Khurkot%2C%20Sindhuli</t>
  </si>
  <si>
    <t>EVNP-0009-P2</t>
  </si>
  <si>
    <t>EVNP-0010</t>
  </si>
  <si>
    <t>EVNP-0010-P1</t>
  </si>
  <si>
    <t>Sindhuli Bus Park</t>
  </si>
  <si>
    <t>https://www.google.com/maps/search/?api=1&amp;query=Sindhuli%20Bus%20Park%2C%20Sindhuli%20Bus%20Park</t>
  </si>
  <si>
    <t>EVNP-0010-P2</t>
  </si>
  <si>
    <t>EVNP-0011</t>
  </si>
  <si>
    <t>EVNP-0011-P1</t>
  </si>
  <si>
    <t>Bardiwas Local Police Office</t>
  </si>
  <si>
    <t>https://www.google.com/maps/search/?api=1&amp;query=Bardiwas%20Local%20Police%20Office%2C%20Bardiwas%20Local%20Police%20Office</t>
  </si>
  <si>
    <t>EVNP-0011-P2</t>
  </si>
  <si>
    <t>EVNP-0012</t>
  </si>
  <si>
    <t>EVNP-0012-P1</t>
  </si>
  <si>
    <t>Mahottari</t>
  </si>
  <si>
    <t>Madhesh</t>
  </si>
  <si>
    <t>https://www.google.com/maps/search/?api=1&amp;query=Mahottari%2C%20Mahottari</t>
  </si>
  <si>
    <t>EVNP-0012-P2</t>
  </si>
  <si>
    <t>EVNP-0013</t>
  </si>
  <si>
    <t>EVNP-0013-P1</t>
  </si>
  <si>
    <t>Hariban, Sarlahi</t>
  </si>
  <si>
    <t>Hariban</t>
  </si>
  <si>
    <t>Sarlahi</t>
  </si>
  <si>
    <t>https://www.google.com/maps/search/?api=1&amp;query=Hariban%2C%20Sarlahi%2C%20Hariban%2C%20Sarlahi</t>
  </si>
  <si>
    <t>EVNP-0013-P2</t>
  </si>
  <si>
    <t>EVNP-0014</t>
  </si>
  <si>
    <t>EVNP-0014-P1</t>
  </si>
  <si>
    <t>Inaruwa Bus Park, Sunsari</t>
  </si>
  <si>
    <t>Sunsari</t>
  </si>
  <si>
    <t>Koshi</t>
  </si>
  <si>
    <t>https://www.google.com/maps/search/?api=1&amp;query=Inaruwa%20Bus%20Park%2C%20Sunsari%2C%20Inaruwa%20Bus%20Park%2C%20Sunsari</t>
  </si>
  <si>
    <t>EVNP-0014-P2</t>
  </si>
  <si>
    <t>EVNP-0015</t>
  </si>
  <si>
    <t>EVNP-0015-P1</t>
  </si>
  <si>
    <t>Police Petrol Pump Lahan, Siraha</t>
  </si>
  <si>
    <t>Siraha</t>
  </si>
  <si>
    <t>https://www.google.com/maps/search/?api=1&amp;query=Police%20Petrol%20Pump%20Lahan%2C%20Siraha%2C%20Police%20Petrol%20Pump%20Lahan%2C%20Siraha</t>
  </si>
  <si>
    <t>EVNP-0015-P2</t>
  </si>
  <si>
    <t>EVNP-0016</t>
  </si>
  <si>
    <t>EVNP-0016-P1</t>
  </si>
  <si>
    <t>Kalika Fuel Station, Kaski</t>
  </si>
  <si>
    <t>Kaski</t>
  </si>
  <si>
    <t>Gandaki</t>
  </si>
  <si>
    <t>https://www.google.com/maps/search/?api=1&amp;query=Kalika%20Fuel%20Station%2C%20Kaski%2C%20Kalika%20Fuel%20Station%2C%20Kaski</t>
  </si>
  <si>
    <t>EVNP-0016-P2</t>
  </si>
  <si>
    <t>EVNP-0017</t>
  </si>
  <si>
    <t>EVNP-0017-P1</t>
  </si>
  <si>
    <t>Damak Bus Park, Jhapa</t>
  </si>
  <si>
    <t>Jhapa</t>
  </si>
  <si>
    <t>https://www.google.com/maps/search/?api=1&amp;query=Damak%20Bus%20Park%2C%20Jhapa%2C%20Damak%20Bus%20Park%2C%20Jhapa</t>
  </si>
  <si>
    <t>EVNP-0017-P2</t>
  </si>
  <si>
    <t>EVNP-0018</t>
  </si>
  <si>
    <t>EVNP-0018-P1</t>
  </si>
  <si>
    <t>Surkhet Bus Park</t>
  </si>
  <si>
    <t>Surkhet</t>
  </si>
  <si>
    <t>Karnali</t>
  </si>
  <si>
    <t>https://www.google.com/maps/search/?api=1&amp;query=Surkhet%20Bus%20Park%2C%20Surkhet%20Bus%20Park</t>
  </si>
  <si>
    <t>EVNP-0018-P2</t>
  </si>
  <si>
    <t>EVNP-0019</t>
  </si>
  <si>
    <t>EVNP-0019-P1</t>
  </si>
  <si>
    <t>Hetauda, Ratamate, Makwanpur</t>
  </si>
  <si>
    <t>Hetauda</t>
  </si>
  <si>
    <t>Makwanpur</t>
  </si>
  <si>
    <t>https://www.google.com/maps/search/?api=1&amp;query=Hetauda%2C%20Ratamate%2C%20Makwanpur%2C%20Hetauda%2C%20Ratamate%2C%20Makwanpur</t>
  </si>
  <si>
    <t>EVNP-0019-P2</t>
  </si>
  <si>
    <t>EVNP-0020</t>
  </si>
  <si>
    <t>EVNP-0020-P1</t>
  </si>
  <si>
    <t>Begnas Lake, Pokhara</t>
  </si>
  <si>
    <t>https://www.google.com/maps/search/?api=1&amp;query=Begnas%20Lake%2C%20Pokhara%2C%20Begnas%20Lake%2C%20Pokhara</t>
  </si>
  <si>
    <t>EVNP-0020-P2</t>
  </si>
  <si>
    <t>EVNP-0021</t>
  </si>
  <si>
    <t>EVNP-0021-P1</t>
  </si>
  <si>
    <t>Butwal Bus Park, Rupandehi</t>
  </si>
  <si>
    <t>Rupandehi</t>
  </si>
  <si>
    <t>Lumbini</t>
  </si>
  <si>
    <t>https://www.google.com/maps/search/?api=1&amp;query=Butwal%20Bus%20Park%2C%20Rupandehi%2C%20Butwal%20Bus%20Park%2C%20Rupandehi</t>
  </si>
  <si>
    <t>EVNP-0021-P2</t>
  </si>
  <si>
    <t>EVNP-0022</t>
  </si>
  <si>
    <t>EVNP-0022-P1</t>
  </si>
  <si>
    <t>Itahari, Sunsari</t>
  </si>
  <si>
    <t>Itahari</t>
  </si>
  <si>
    <t>https://www.google.com/maps/search/?api=1&amp;query=Itahari%2C%20Sunsari%2C%20Itahari%2C%20Sunsari</t>
  </si>
  <si>
    <t>EVNP-0022-P2</t>
  </si>
  <si>
    <t>EVNP-0023</t>
  </si>
  <si>
    <t>EVNP-0023-P1</t>
  </si>
  <si>
    <t>Biratnagar, Morang</t>
  </si>
  <si>
    <t>Biratnagar</t>
  </si>
  <si>
    <t>Morang</t>
  </si>
  <si>
    <t>https://www.google.com/maps/search/?api=1&amp;query=Biratnagar%2C%20Morang%2C%20Biratnagar%2C%20Morang</t>
  </si>
  <si>
    <t>EVNP-0023-P2</t>
  </si>
  <si>
    <t>EVNP-0024</t>
  </si>
  <si>
    <t>EVNP-0024-P1</t>
  </si>
  <si>
    <t>Kohalpur, Naya Bus Park, Banke</t>
  </si>
  <si>
    <t>Kohalpur</t>
  </si>
  <si>
    <t>Banke</t>
  </si>
  <si>
    <t>https://www.google.com/maps/search/?api=1&amp;query=Kohalpur%2C%20Naya%20Bus%20Park%2C%20Banke%2C%20Kohalpur%2C%20Naya%20Bus%20Park%2C%20Banke</t>
  </si>
  <si>
    <t>EVNP-0024-P2</t>
  </si>
  <si>
    <t>EVNP-0025</t>
  </si>
  <si>
    <t>EVNP-0025-P1</t>
  </si>
  <si>
    <t>Dhangadhi, Kailali</t>
  </si>
  <si>
    <t>Dhangadhi</t>
  </si>
  <si>
    <t>Kailali</t>
  </si>
  <si>
    <t>https://www.google.com/maps/search/?api=1&amp;query=Dhangadhi%2C%20Kailali%2C%20Dhangadhi%2C%20Kailali</t>
  </si>
  <si>
    <t>EVNP-0025-P2</t>
  </si>
  <si>
    <t>EVNP-0026</t>
  </si>
  <si>
    <t>EVNP-0026-P1</t>
  </si>
  <si>
    <t>Trishuli Hawaghar, Nuwakot</t>
  </si>
  <si>
    <t>Nuwakot</t>
  </si>
  <si>
    <t>https://www.google.com/maps/search/?api=1&amp;query=Trishuli%20Hawaghar%2C%20Nuwakot%2C%20Trishuli%20Hawaghar%2C%20Nuwakot</t>
  </si>
  <si>
    <t>EVNP-0026-P2</t>
  </si>
  <si>
    <t>EVNP-0027</t>
  </si>
  <si>
    <t>EVNP-0027-P1</t>
  </si>
  <si>
    <t>Battar, Tribhuli, Nuwakot</t>
  </si>
  <si>
    <t>https://www.google.com/maps/search/?api=1&amp;query=Battar%2C%20Tribhuli%2C%20Nuwakot%2C%20Battar%2C%20Tribhuli%2C%20Nuwakot</t>
  </si>
  <si>
    <t>EVNP-0027-P2</t>
  </si>
  <si>
    <t>EVNP-0028</t>
  </si>
  <si>
    <t>EVNP-0028-P1</t>
  </si>
  <si>
    <t>Kusma, Parbat</t>
  </si>
  <si>
    <t>Kusma</t>
  </si>
  <si>
    <t>Parbat</t>
  </si>
  <si>
    <t>https://www.google.com/maps/search/?api=1&amp;query=Kusma%2C%20Parbat%2C%20Kusma%2C%20Parbat</t>
  </si>
  <si>
    <t>EVNP-0028-P2</t>
  </si>
  <si>
    <t>EVNP-0029</t>
  </si>
  <si>
    <t>EVNP-0029-P1</t>
  </si>
  <si>
    <t>Lamahai Bus Park, Dang</t>
  </si>
  <si>
    <t>Dang</t>
  </si>
  <si>
    <t>https://www.google.com/maps/search/?api=1&amp;query=Lamahai%20Bus%20Park%2C%20Dang%2C%20Lamahai%20Bus%20Park%2C%20Dang</t>
  </si>
  <si>
    <t>EVNP-0029-P2</t>
  </si>
  <si>
    <t>EVNP-0030</t>
  </si>
  <si>
    <t>EVNP-0030-P1</t>
  </si>
  <si>
    <t>Lamki, Kailali</t>
  </si>
  <si>
    <t>Lamki</t>
  </si>
  <si>
    <t>https://www.google.com/maps/search/?api=1&amp;query=Lamki%2C%20Kailali%2C%20Lamki%2C%20Kailali</t>
  </si>
  <si>
    <t>EVNP-0030-P2</t>
  </si>
  <si>
    <t>EVNP-0031</t>
  </si>
  <si>
    <t>EVNP-0031-P1</t>
  </si>
  <si>
    <t>Banepa, Kavre</t>
  </si>
  <si>
    <t>Banepa</t>
  </si>
  <si>
    <t>Kavre</t>
  </si>
  <si>
    <t>https://www.google.com/maps/search/?api=1&amp;query=Banepa%2C%20Kavre%2C%20Banepa%2C%20Kavre</t>
  </si>
  <si>
    <t>EVNP-0031-P2</t>
  </si>
  <si>
    <t>EVNP-0032</t>
  </si>
  <si>
    <t>EVNP-0032-P1</t>
  </si>
  <si>
    <t>Thankot</t>
  </si>
  <si>
    <t>https://www.google.com/maps/search/?api=1&amp;query=Thankot%2C%20Thankot</t>
  </si>
  <si>
    <t>EVNP-0032-P2</t>
  </si>
  <si>
    <t>EVNP-0033</t>
  </si>
  <si>
    <t>EVNP-0033-P1</t>
  </si>
  <si>
    <t>Bharatpur Bus Park, Chitwan</t>
  </si>
  <si>
    <t>https://www.google.com/maps/search/?api=1&amp;query=Bharatpur%20Bus%20Park%2C%20Chitwan%2C%20Bharatpur%20Bus%20Park%2C%20Chitwan</t>
  </si>
  <si>
    <t>EVNP-0033-P2</t>
  </si>
  <si>
    <t>EVNP-0034</t>
  </si>
  <si>
    <t>EVNP-0034-P1</t>
  </si>
  <si>
    <t>Birgunj Bus Park, Parsa</t>
  </si>
  <si>
    <t>Parsa</t>
  </si>
  <si>
    <t>https://www.google.com/maps/search/?api=1&amp;query=Birgunj%20Bus%20Park%2C%20Parsa%2C%20Birgunj%20Bus%20Park%2C%20Parsa</t>
  </si>
  <si>
    <t>EVNP-0034-P2</t>
  </si>
  <si>
    <t>EVNP-0035</t>
  </si>
  <si>
    <t>EVNP-0035-P1</t>
  </si>
  <si>
    <t>Attariya Bus Park, Kailali</t>
  </si>
  <si>
    <t>https://www.google.com/maps/search/?api=1&amp;query=Attariya%20Bus%20Park%2C%20Kailali%2C%20Attariya%20Bus%20Park%2C%20Kailali</t>
  </si>
  <si>
    <t>EVNP-0035-P2</t>
  </si>
  <si>
    <t>EVNP-0036</t>
  </si>
  <si>
    <t>EVNP-0036-P1</t>
  </si>
  <si>
    <t>Tulsipur, Dang</t>
  </si>
  <si>
    <t>BYD</t>
  </si>
  <si>
    <t>Tulsipur</t>
  </si>
  <si>
    <t>30.0</t>
  </si>
  <si>
    <t>plug_type='CCS2' | power_type='DC (30 kW DC)'</t>
  </si>
  <si>
    <t>+9779857822446</t>
  </si>
  <si>
    <t>https://www.google.com/maps/search/?api=1&amp;query=Tulsipur%2C%20Dang%2C%20Tulsipur%2C%20Dang</t>
  </si>
  <si>
    <t>EVNP-0037</t>
  </si>
  <si>
    <t>EVNP-0037-P1</t>
  </si>
  <si>
    <t>Siddharthanagar, Bhairahawa</t>
  </si>
  <si>
    <t>+9779857077797</t>
  </si>
  <si>
    <t>https://www.google.com/maps/search/?api=1&amp;query=Siddharthanagar%2C%20Bhairahawa%2C%20Siddharthanagar%2C%20Bhairahawa</t>
  </si>
  <si>
    <t>EVNP-0038</t>
  </si>
  <si>
    <t>EVNP-0038-P1</t>
  </si>
  <si>
    <t>Shakti Auto Parts, Kohalpur Banke</t>
  </si>
  <si>
    <t>+9779858041349</t>
  </si>
  <si>
    <t>https://www.google.com/maps/search/?api=1&amp;query=Shakti%20Auto%20Parts%2C%20Kohalpur%20Banke%2C%20Shakti%20Auto%20Parts%2C%20Kohalpur%20Banke</t>
  </si>
  <si>
    <t>EVNP-0039</t>
  </si>
  <si>
    <t>EVNP-0039-P1</t>
  </si>
  <si>
    <t>Naivedya Restaurant, Birtamod</t>
  </si>
  <si>
    <t>+9779801455777</t>
  </si>
  <si>
    <t>https://www.google.com/maps/search/?api=1&amp;query=Naivedya%20Restaurant%2C%20Birtamod%2C%20Naivedya%20Restaurant%2C%20Birtamod</t>
  </si>
  <si>
    <t>EVNP-0040</t>
  </si>
  <si>
    <t>EVNP-0040-P1</t>
  </si>
  <si>
    <t>Lamahi, Dang</t>
  </si>
  <si>
    <t>Lamahi</t>
  </si>
  <si>
    <t>https://www.google.com/maps/search/?api=1&amp;query=Lamahi%2C%20Dang%2C%20Lamahi%2C%20Dang</t>
  </si>
  <si>
    <t>EVNP-0041</t>
  </si>
  <si>
    <t>EVNP-0041-P1</t>
  </si>
  <si>
    <t>Yak Brewing Company, Kurintar</t>
  </si>
  <si>
    <t>https://www.google.com/maps/search/?api=1&amp;query=Yak%20Brewing%20Company%2C%20Kurintar%2C%20Yak%20Brewing%20Company%2C%20Kurintar</t>
  </si>
  <si>
    <t>EVNP-0042</t>
  </si>
  <si>
    <t>EVNP-0042-P1</t>
  </si>
  <si>
    <t>Kalikanagar, Butwal</t>
  </si>
  <si>
    <t>https://www.google.com/maps/search/?api=1&amp;query=Kalikanagar%2C%20Butwal%2C%20Kalikanagar%2C%20Butwal</t>
  </si>
  <si>
    <t>EVNP-0043</t>
  </si>
  <si>
    <t>EVNP-0043-P1</t>
  </si>
  <si>
    <t>Hotel Royal, Buspark Tulsipuar</t>
  </si>
  <si>
    <t>+9779816452720</t>
  </si>
  <si>
    <t>https://www.google.com/maps/search/?api=1&amp;query=Hotel%20Royal%2C%20Buspark%20Tulsipuar%2C%20Hotel%20Royal%2C%20Buspark%20Tulsipuar</t>
  </si>
  <si>
    <t>EVNP-0044</t>
  </si>
  <si>
    <t>EVNP-0044-P1</t>
  </si>
  <si>
    <t>Ghorahi, Dang</t>
  </si>
  <si>
    <t>Ghorahi</t>
  </si>
  <si>
    <t>https://www.google.com/maps/search/?api=1&amp;query=Ghorahi%2C%20Dang%2C%20Ghorahi%2C%20Dang</t>
  </si>
  <si>
    <t>EVNP-0045</t>
  </si>
  <si>
    <t>EVNP-0045-P1</t>
  </si>
  <si>
    <t>Ganapati Café, Birtamod</t>
  </si>
  <si>
    <t>https://www.google.com/maps/search/?api=1&amp;query=Ganapati%20Caf%C3%A9%2C%20Birtamod%2C%20Ganapati%20Caf%C3%A9%2C%20Birtamod</t>
  </si>
  <si>
    <t>EVNP-0046</t>
  </si>
  <si>
    <t>EVNP-0046-P1</t>
  </si>
  <si>
    <t>CMT Resort, Chitwan</t>
  </si>
  <si>
    <t>https://www.google.com/maps/search/?api=1&amp;query=CMT%20Resort%2C%20Chitwan%2C%20CMT%20Resort%2C%20Chitwan</t>
  </si>
  <si>
    <t>EVNP-0047</t>
  </si>
  <si>
    <t>EVNP-0047-P1</t>
  </si>
  <si>
    <t>Central Plaza, Itahari</t>
  </si>
  <si>
    <t>https://www.google.com/maps/search/?api=1&amp;query=Central%20Plaza%2C%20Itahari%2C%20Central%20Plaza%2C%20Itahari</t>
  </si>
  <si>
    <t>EVNP-0048</t>
  </si>
  <si>
    <t>EVNP-0048-P1</t>
  </si>
  <si>
    <t>Uttam Chowk, Pokhara</t>
  </si>
  <si>
    <t>+9779802855484</t>
  </si>
  <si>
    <t>https://www.google.com/maps/search/?api=1&amp;query=Uttam%20Chowk%2C%20Pokhara%2C%20Uttam%20Chowk%2C%20Pokhara</t>
  </si>
  <si>
    <t>EVNP-0049</t>
  </si>
  <si>
    <t>EVNP-0049-P1</t>
  </si>
  <si>
    <t>BYD, Nepalgunj</t>
  </si>
  <si>
    <t>https://www.google.com/maps/search/?api=1&amp;query=BYD%2C%20Nepalgunj%2C%20BYD%2C%20Nepalgunj</t>
  </si>
  <si>
    <t>EVNP-0050</t>
  </si>
  <si>
    <t>EVNP-0050-P1</t>
  </si>
  <si>
    <t>BYD, Janakpur</t>
  </si>
  <si>
    <t>+9779844039594</t>
  </si>
  <si>
    <t>https://www.google.com/maps/search/?api=1&amp;query=BYD%2C%20Janakpur%2C%20BYD%2C%20Janakpur</t>
  </si>
  <si>
    <t>EVNP-0051</t>
  </si>
  <si>
    <t>EVNP-0051-P1</t>
  </si>
  <si>
    <t>BYD, Itahari</t>
  </si>
  <si>
    <t>+9779802600808</t>
  </si>
  <si>
    <t>https://www.google.com/maps/search/?api=1&amp;query=BYD%2C%20Itahari%2C%20BYD%2C%20Itahari</t>
  </si>
  <si>
    <t>EVNP-0052</t>
  </si>
  <si>
    <t>EVNP-0052-P1</t>
  </si>
  <si>
    <t>BYD, Dhangadhi</t>
  </si>
  <si>
    <t>+9779858420415</t>
  </si>
  <si>
    <t>https://www.google.com/maps/search/?api=1&amp;query=BYD%2C%20Dhangadhi%2C%20BYD%2C%20Dhangadhi</t>
  </si>
  <si>
    <t>EVNP-0053</t>
  </si>
  <si>
    <t>EVNP-0053-P1</t>
  </si>
  <si>
    <t>BYD, Butwal Service Center</t>
  </si>
  <si>
    <t>+9779857028014</t>
  </si>
  <si>
    <t>https://www.google.com/maps/search/?api=1&amp;query=BYD%2C%20Butwal%20Service%20Center%2C%20BYD%2C%20Butwal%20Service%20Center</t>
  </si>
  <si>
    <t>EVNP-0054</t>
  </si>
  <si>
    <t>EVNP-0054-P1</t>
  </si>
  <si>
    <t>BYD, Birtamod</t>
  </si>
  <si>
    <t>+9779801432290</t>
  </si>
  <si>
    <t>https://www.google.com/maps/search/?api=1&amp;query=BYD%2C%20Birtamod%2C%20BYD%2C%20Birtamod</t>
  </si>
  <si>
    <t>EVNP-0055</t>
  </si>
  <si>
    <t>EVNP-0055-P1</t>
  </si>
  <si>
    <t>BYD, Birgunj</t>
  </si>
  <si>
    <t>https://www.google.com/maps/search/?api=1&amp;query=BYD%2C%20Birgunj%2C%20BYD%2C%20Birgunj</t>
  </si>
  <si>
    <t>EVNP-0056</t>
  </si>
  <si>
    <t>EVNP-0056-P1</t>
  </si>
  <si>
    <t>BYD, Biratnagar Service Center</t>
  </si>
  <si>
    <t>+9779802730798</t>
  </si>
  <si>
    <t>https://www.google.com/maps/search/?api=1&amp;query=BYD%2C%20Biratnagar%20Service%20Center%2C%20BYD%2C%20Biratnagar%20Service%20Center</t>
  </si>
  <si>
    <t>EVNP-0057</t>
  </si>
  <si>
    <t>EVNP-0057-P1</t>
  </si>
  <si>
    <t>Astabhuja Oil Distributor, Chitwan</t>
  </si>
  <si>
    <t>+9779801360526</t>
  </si>
  <si>
    <t>https://www.google.com/maps/search/?api=1&amp;query=Astabhuja%20Oil%20Distributor%2C%20Chitwan%2C%20Astabhuja%20Oil%20Distributor%2C%20Chitwan</t>
  </si>
  <si>
    <t>EVNP-0058</t>
  </si>
  <si>
    <t>EVNP-0058-P1</t>
  </si>
  <si>
    <t>Thapathali EV showroom, Thapathali</t>
  </si>
  <si>
    <t>Hyundai</t>
  </si>
  <si>
    <t>7.2</t>
  </si>
  <si>
    <t>plug_type='CCS2' | power_type='7.2Kw - AC'</t>
  </si>
  <si>
    <t>+977-01-5911553/5911554/5911556</t>
  </si>
  <si>
    <t>https://www.google.com/maps/search/?api=1&amp;query=Thapathali%20EV%20showroom%2C%20Thapathali%2C%20Thapathali%20EV%20showroom%2C%20Thapathali</t>
  </si>
  <si>
    <t>EVNP-0059</t>
  </si>
  <si>
    <t>EVNP-0059-P1</t>
  </si>
  <si>
    <t>Orchid Moto Corp, Birgunj</t>
  </si>
  <si>
    <t>+977-091-523714/524492</t>
  </si>
  <si>
    <t>https://www.google.com/maps/search/?api=1&amp;query=Orchid%20Moto%20Corp%2C%20Birgunj%2C%20Orchid%20Moto%20Corp%2C%20Birgunj</t>
  </si>
  <si>
    <t>EVNP-0060</t>
  </si>
  <si>
    <t>EVNP-0060-P1</t>
  </si>
  <si>
    <t>LI Quick Service, Tinkune</t>
  </si>
  <si>
    <t>+977-01-4111891/4111892</t>
  </si>
  <si>
    <t>https://www.google.com/maps/search/?api=1&amp;query=LI%20Quick%20Service%2C%20Tinkune%2C%20LI%20Quick%20Service%2C%20Tinkune</t>
  </si>
  <si>
    <t>EVNP-0061</t>
  </si>
  <si>
    <t>EVNP-0061-P1</t>
  </si>
  <si>
    <t>LI Service, Kupandole</t>
  </si>
  <si>
    <t>+977-01-5420037/5450380/5550380</t>
  </si>
  <si>
    <t>https://www.google.com/maps/search/?api=1&amp;query=LI%20Service%2C%20Kupandole%2C%20LI%20Service%2C%20Kupandole</t>
  </si>
  <si>
    <t>EVNP-0062</t>
  </si>
  <si>
    <t>EVNP-0062-P1</t>
  </si>
  <si>
    <t>LI Service, Dhapasi</t>
  </si>
  <si>
    <t>+977-01-4355430/4355431</t>
  </si>
  <si>
    <t>https://www.google.com/maps/search/?api=1&amp;query=LI%20Service%2C%20Dhapasi%2C%20LI%20Service%2C%20Dhapasi</t>
  </si>
  <si>
    <t>EVNP-0063</t>
  </si>
  <si>
    <t>EVNP-0063-P1</t>
  </si>
  <si>
    <t>LI Service, Bhaktapur</t>
  </si>
  <si>
    <t>Bhaktapur</t>
  </si>
  <si>
    <t>+977-01-5970226/6635266</t>
  </si>
  <si>
    <t>https://www.google.com/maps/search/?api=1&amp;query=LI%20Service%2C%20Bhaktapur%2C%20LI%20Service%2C%20Bhaktapur</t>
  </si>
  <si>
    <t>EVNP-0064</t>
  </si>
  <si>
    <t>EVNP-0064-P1</t>
  </si>
  <si>
    <t>Labim Mall, Pulchowk, Lalitpur</t>
  </si>
  <si>
    <t>Labim Mall</t>
  </si>
  <si>
    <t>Lalitpur</t>
  </si>
  <si>
    <t>+977-01-5529924</t>
  </si>
  <si>
    <t>https://www.google.com/maps/search/?api=1&amp;query=Labim%20Mall%2C%20Pulchowk%2C%20Lalitpur%2C%20Labim%20Mall%2C%20Pulchowk%2C%20Lalitpur</t>
  </si>
  <si>
    <t>EVNP-0065</t>
  </si>
  <si>
    <t>EVNP-0065-P1</t>
  </si>
  <si>
    <t>New Shiv Service, Sinamangal</t>
  </si>
  <si>
    <t>+977-01-4474511/4474512/4474513</t>
  </si>
  <si>
    <t>https://www.google.com/maps/search/?api=1&amp;query=New%20Shiv%20Service%2C%20Sinamangal%2C%20New%20Shiv%20Service%2C%20Sinamangal</t>
  </si>
  <si>
    <t>EVNP-0066</t>
  </si>
  <si>
    <t>EVNP-0066-P1</t>
  </si>
  <si>
    <t>Hyundai Sales, Naxal</t>
  </si>
  <si>
    <t>+977-01-5911556/5911457/5911558</t>
  </si>
  <si>
    <t>https://www.google.com/maps/search/?api=1&amp;query=Hyundai%20Sales%2C%20Naxal%2C%20Hyundai%20Sales%2C%20Naxal</t>
  </si>
  <si>
    <t>EVNP-0067</t>
  </si>
  <si>
    <t>EVNP-0067-P1</t>
  </si>
  <si>
    <t>Laxmi Bank Head Office, Kathmandu-Hattisar</t>
  </si>
  <si>
    <t>Kathmandu</t>
  </si>
  <si>
    <t>+977-01-4544684</t>
  </si>
  <si>
    <t>https://www.google.com/maps/search/?api=1&amp;query=Laxmi%20Bank%20Head%20Office%2C%20Kathmandu-Hattisar%2C%20Laxmi%20Bank%20Head%20Office%2C%20Kathmandu-Hattisar</t>
  </si>
  <si>
    <t>EVNP-0068</t>
  </si>
  <si>
    <t>EVNP-0068-P1</t>
  </si>
  <si>
    <t>Hyundai Sales, Thapathali</t>
  </si>
  <si>
    <t>https://www.google.com/maps/search/?api=1&amp;query=Hyundai%20Sales%2C%20Thapathali%2C%20Hyundai%20Sales%2C%20Thapathali</t>
  </si>
  <si>
    <t>EVNP-0069</t>
  </si>
  <si>
    <t>EVNP-0069-P1</t>
  </si>
  <si>
    <t>Hotel Devotee, Dhangadhi</t>
  </si>
  <si>
    <t>+977-091-521618</t>
  </si>
  <si>
    <t>https://www.google.com/maps/search/?api=1&amp;query=Hotel%20Devotee%2C%20Dhangadhi%2C%20Hotel%20Devotee%2C%20Dhangadhi</t>
  </si>
  <si>
    <t>EVNP-0070</t>
  </si>
  <si>
    <t>EVNP-0070-P1</t>
  </si>
  <si>
    <t>Hotel Pauwa, Bhaluwang</t>
  </si>
  <si>
    <t>+977-071-570305</t>
  </si>
  <si>
    <t>https://www.google.com/maps/search/?api=1&amp;query=Hotel%20Pauwa%2C%20Bhaluwang%2C%20Hotel%20Pauwa%2C%20Bhaluwang</t>
  </si>
  <si>
    <t>EVNP-0071</t>
  </si>
  <si>
    <t>EVNP-0071-P1</t>
  </si>
  <si>
    <t>Pinnacle Service, Basanta Chowk, Bharatpur</t>
  </si>
  <si>
    <t>+977-056-526276</t>
  </si>
  <si>
    <t>https://www.google.com/maps/search/?api=1&amp;query=Pinnacle%20Service%2C%20Basanta%20Chowk%2C%20Bharatpur%2C%20Pinnacle%20Service%2C%20Basanta%20Chowk%2C%20Bharatpur</t>
  </si>
  <si>
    <t>EVNP-0072</t>
  </si>
  <si>
    <t>EVNP-0072-P1</t>
  </si>
  <si>
    <t>Royal Century Hotel, Bharatpur</t>
  </si>
  <si>
    <t>+977-056-525865</t>
  </si>
  <si>
    <t>https://www.google.com/maps/search/?api=1&amp;query=Royal%20Century%20Hotel%2C%20Bharatpur%2C%20Royal%20Century%20Hotel%2C%20Bharatpur</t>
  </si>
  <si>
    <t>EVNP-0073</t>
  </si>
  <si>
    <t>EVNP-0073-P1</t>
  </si>
  <si>
    <t>Barahi Jungle Lodge, Bharatpur, Meghauli West</t>
  </si>
  <si>
    <t>+9779851331247</t>
  </si>
  <si>
    <t>https://www.google.com/maps/search/?api=1&amp;query=Barahi%20Jungle%20Lodge%2C%20Bharatpur%2C%20Meghauli%20West%2C%20Barahi%20Jungle%20Lodge%2C%20Bharatpur%2C%20Meghauli%20West</t>
  </si>
  <si>
    <t>EVNP-0074</t>
  </si>
  <si>
    <t>EVNP-0074-P1</t>
  </si>
  <si>
    <t>Siddhartha Resort, Chisapani</t>
  </si>
  <si>
    <t>+977-091-414000</t>
  </si>
  <si>
    <t>https://www.google.com/maps/search/?api=1&amp;query=Siddhartha%20Resort%2C%20Chisapani%2C%20Siddhartha%20Resort%2C%20Chisapani</t>
  </si>
  <si>
    <t>EVNP-0075</t>
  </si>
  <si>
    <t>EVNP-0075-P1</t>
  </si>
  <si>
    <t>Dinesh 4 Wheels, Dhangadhi</t>
  </si>
  <si>
    <t>https://www.google.com/maps/search/?api=1&amp;query=Dinesh%204%20Wheels%2C%20Dhangadhi%2C%20Dinesh%204%20Wheels%2C%20Dhangadhi</t>
  </si>
  <si>
    <t>EVNP-0076</t>
  </si>
  <si>
    <t>EVNP-0076-P1</t>
  </si>
  <si>
    <t>Siddhartha Hotel, Nepalgunj</t>
  </si>
  <si>
    <t>+977-081-551200</t>
  </si>
  <si>
    <t>https://www.google.com/maps/search/?api=1&amp;query=Siddhartha%20Hotel%2C%20Nepalgunj%2C%20Siddhartha%20Hotel%2C%20Nepalgunj</t>
  </si>
  <si>
    <t>EVNP-0077</t>
  </si>
  <si>
    <t>EVNP-0077-P1</t>
  </si>
  <si>
    <t>Him Intercontinental, Nepalgunj</t>
  </si>
  <si>
    <t>+977-081550427/081550428/081550429</t>
  </si>
  <si>
    <t>https://www.google.com/maps/search/?api=1&amp;query=Him%20Intercontinental%2C%20Nepalgunj%2C%20Him%20Intercontinental%2C%20Nepalgunj</t>
  </si>
  <si>
    <t>EVNP-0078</t>
  </si>
  <si>
    <t>EVNP-0078-P1</t>
  </si>
  <si>
    <t>New Rider, Autoworld, Dang</t>
  </si>
  <si>
    <t>+977-082-562602</t>
  </si>
  <si>
    <t>https://www.google.com/maps/search/?api=1&amp;query=New%20Rider%2C%20Autoworld%2C%20Dang%2C%20New%20Rider%2C%20Autoworld%2C%20Dang</t>
  </si>
  <si>
    <t>EVNP-0079</t>
  </si>
  <si>
    <t>EVNP-0079-P1</t>
  </si>
  <si>
    <t>Siddhi Vinayak Service, Butwal</t>
  </si>
  <si>
    <t>+977-071-415275</t>
  </si>
  <si>
    <t>https://www.google.com/maps/search/?api=1&amp;query=Siddhi%20Vinayak%20Service%2C%20Butwal%2C%20Siddhi%20Vinayak%20Service%2C%20Butwal</t>
  </si>
  <si>
    <t>EVNP-0080</t>
  </si>
  <si>
    <t>EVNP-0080-P1</t>
  </si>
  <si>
    <t>Hotel Da Flamingo, Butwal</t>
  </si>
  <si>
    <t>+977-071-420152</t>
  </si>
  <si>
    <t>https://www.google.com/maps/search/?api=1&amp;query=Hotel%20Da%20Flamingo%2C%20Butwal%2C%20Hotel%20Da%20Flamingo%2C%20Butwal</t>
  </si>
  <si>
    <t>EVNP-0081</t>
  </si>
  <si>
    <t>EVNP-0081-P1</t>
  </si>
  <si>
    <t>Jagat Motor, Bhairahawa</t>
  </si>
  <si>
    <t>+977-071-575428/575429</t>
  </si>
  <si>
    <t>https://www.google.com/maps/search/?api=1&amp;query=Jagat%20Motor%2C%20Bhairahawa%2C%20Jagat%20Motor%2C%20Bhairahawa</t>
  </si>
  <si>
    <t>EVNP-0082</t>
  </si>
  <si>
    <t>EVNP-0082-P1</t>
  </si>
  <si>
    <t>Bodhi Red Sun, Bhairahawa</t>
  </si>
  <si>
    <t>+977-071-525957</t>
  </si>
  <si>
    <t>https://www.google.com/maps/search/?api=1&amp;query=Bodhi%20Red%20Sun%2C%20Bhairahawa%2C%20Bodhi%20Red%20Sun%2C%20Bhairahawa</t>
  </si>
  <si>
    <t>EVNP-0083</t>
  </si>
  <si>
    <t>EVNP-0083-P1</t>
  </si>
  <si>
    <t>KC's Restaurant &amp; Home, Sauraha</t>
  </si>
  <si>
    <t>985-5015309</t>
  </si>
  <si>
    <t>https://www.google.com/maps/search/?api=1&amp;query=KC%27s%20Restaurant%20%26%20Home%2C%20Sauraha%2C%20KC%27s%20Restaurant%20%26%20Home%2C%20Sauraha</t>
  </si>
  <si>
    <t>EVNP-0084</t>
  </si>
  <si>
    <t>EVNP-0084-P1</t>
  </si>
  <si>
    <t>Hotel Nepalirika, Biratchowk</t>
  </si>
  <si>
    <t>+977-021-545212</t>
  </si>
  <si>
    <t>https://www.google.com/maps/search/?api=1&amp;query=Hotel%20Nepalirika%2C%20Biratchowk%2C%20Hotel%20Nepalirika%2C%20Biratchowk</t>
  </si>
  <si>
    <t>EVNP-0085</t>
  </si>
  <si>
    <t>EVNP-0085-P1</t>
  </si>
  <si>
    <t>Hotel Kingsbury, Birtamod</t>
  </si>
  <si>
    <t>+977-023-509700</t>
  </si>
  <si>
    <t>https://www.google.com/maps/search/?api=1&amp;query=Hotel%20Kingsbury%2C%20Birtamod%2C%20Hotel%20Kingsbury%2C%20Birtamod</t>
  </si>
  <si>
    <t>EVNP-0086</t>
  </si>
  <si>
    <t>EVNP-0086-P1</t>
  </si>
  <si>
    <t>Akshit Beach Resort, Mulkot</t>
  </si>
  <si>
    <t>+9779851045480</t>
  </si>
  <si>
    <t>https://www.google.com/maps/search/?api=1&amp;query=Akshit%20Beach%20Resort%2C%20Mulkot%2C%20Akshit%20Beach%20Resort%2C%20Mulkot</t>
  </si>
  <si>
    <t>EVNP-0087</t>
  </si>
  <si>
    <t>EVNP-0087-P1</t>
  </si>
  <si>
    <t>Hotel Vishwa, Birgunj</t>
  </si>
  <si>
    <t>+977-051-591055</t>
  </si>
  <si>
    <t>https://www.google.com/maps/search/?api=1&amp;query=Hotel%20Vishwa%2C%20Birgunj%2C%20Hotel%20Vishwa%2C%20Birgunj</t>
  </si>
  <si>
    <t>EVNP-0088</t>
  </si>
  <si>
    <t>EVNP-0088-P1</t>
  </si>
  <si>
    <t>Orchids Moto Corp, Birgunj</t>
  </si>
  <si>
    <t>https://www.google.com/maps/search/?api=1&amp;query=Orchids%20Moto%20Corp%2C%20Birgunj%2C%20Orchids%20Moto%20Corp%2C%20Birgunj</t>
  </si>
  <si>
    <t>EVNP-0089</t>
  </si>
  <si>
    <t>EVNP-0089-P1</t>
  </si>
  <si>
    <t>Hetauda Wheels, Hetauda</t>
  </si>
  <si>
    <t>+977-057-520200</t>
  </si>
  <si>
    <t>https://www.google.com/maps/search/?api=1&amp;query=Hetauda%20Wheels%2C%20Hetauda%2C%20Hetauda%20Wheels%2C%20Hetauda</t>
  </si>
  <si>
    <t>EVNP-0090</t>
  </si>
  <si>
    <t>EVNP-0090-P1</t>
  </si>
  <si>
    <t>Avocado &amp; Orchids Resort, Hetauda</t>
  </si>
  <si>
    <t>+977-057-520235</t>
  </si>
  <si>
    <t>https://www.google.com/maps/search/?api=1&amp;query=Avocado%20%26%20Orchids%20Resort%2C%20Hetauda%2C%20Avocado%20%26%20Orchids%20Resort%2C%20Hetauda</t>
  </si>
  <si>
    <t>EVNP-0091</t>
  </si>
  <si>
    <t>EVNP-0091-P1</t>
  </si>
  <si>
    <t>Royal Auto World, Biratnagar</t>
  </si>
  <si>
    <t>+977-021-460609</t>
  </si>
  <si>
    <t>https://www.google.com/maps/search/?api=1&amp;query=Royal%20Auto%20World%2C%20Biratnagar%2C%20Royal%20Auto%20World%2C%20Biratnagar</t>
  </si>
  <si>
    <t>EVNP-0092</t>
  </si>
  <si>
    <t>EVNP-0092-P1</t>
  </si>
  <si>
    <t>Pathivara Auto Link, Itahari</t>
  </si>
  <si>
    <t>+977-025-587502</t>
  </si>
  <si>
    <t>https://www.google.com/maps/search/?api=1&amp;query=Pathivara%20Auto%20Link%2C%20Itahari%2C%20Pathivara%20Auto%20Link%2C%20Itahari</t>
  </si>
  <si>
    <t>EVNP-0093</t>
  </si>
  <si>
    <t>EVNP-0093-P1</t>
  </si>
  <si>
    <t>Alliance Motors, Birtamod</t>
  </si>
  <si>
    <t>+977-023-541495</t>
  </si>
  <si>
    <t>https://www.google.com/maps/search/?api=1&amp;query=Alliance%20Motors%2C%20Birtamod%2C%20Alliance%20Motors%2C%20Birtamod</t>
  </si>
  <si>
    <t>EVNP-0094</t>
  </si>
  <si>
    <t>EVNP-0094-P1</t>
  </si>
  <si>
    <t>Barahi Service Center, Pokhara</t>
  </si>
  <si>
    <t>+977-061-524336</t>
  </si>
  <si>
    <t>https://www.google.com/maps/search/?api=1&amp;query=Barahi%20Service%20Center%2C%20Pokhara%2C%20Barahi%20Service%20Center%2C%20Pokhara</t>
  </si>
  <si>
    <t>EVNP-0095</t>
  </si>
  <si>
    <t>EVNP-0095-P1</t>
  </si>
  <si>
    <t>Bindiya Service Center, Pokhara</t>
  </si>
  <si>
    <t>+977-061-530436</t>
  </si>
  <si>
    <t>https://www.google.com/maps/search/?api=1&amp;query=Bindiya%20Service%20Center%2C%20Pokhara%2C%20Bindiya%20Service%20Center%2C%20Pokhara</t>
  </si>
  <si>
    <t>EVNP-0096</t>
  </si>
  <si>
    <t>EVNP-0096-P1</t>
  </si>
  <si>
    <t>Water Front Resort, Pokhara</t>
  </si>
  <si>
    <t>+977-061-420004</t>
  </si>
  <si>
    <t>https://www.google.com/maps/search/?api=1&amp;query=Water%20Front%20Resort%2C%20Pokhara%2C%20Water%20Front%20Resort%2C%20Pokhara</t>
  </si>
  <si>
    <t>EVNP-0097</t>
  </si>
  <si>
    <t>EVNP-0097-P1</t>
  </si>
  <si>
    <t>Hotel Barahi, Pokhara</t>
  </si>
  <si>
    <t>+977-061-460617</t>
  </si>
  <si>
    <t>https://www.google.com/maps/search/?api=1&amp;query=Hotel%20Barahi%2C%20Pokhara%2C%20Hotel%20Barahi%2C%20Pokhara</t>
  </si>
  <si>
    <t>EVNP-0098</t>
  </si>
  <si>
    <t>EVNP-0098-P1</t>
  </si>
  <si>
    <t>Kurintar Retreat, Kurintar-Darechowk</t>
  </si>
  <si>
    <t>+9779851340153</t>
  </si>
  <si>
    <t>https://www.google.com/maps/search/?api=1&amp;query=Kurintar%20Retreat%2C%20Kurintar-Darechowk%2C%20Kurintar%20Retreat%2C%20Kurintar-Darechowk</t>
  </si>
  <si>
    <t>EVNP-0099</t>
  </si>
  <si>
    <t>EVNP-0099-P1</t>
  </si>
  <si>
    <t>Hotel Soaltee Westend, Itahari-Kosh-Highway</t>
  </si>
  <si>
    <t>https://www.google.com/maps/search/?api=1&amp;query=Hotel%20Soaltee%20Westend%2C%20Itahari-Kosh-Highway%2C%20Hotel%20Soaltee%20Westend%2C%20Itahari-Kosh-Highway</t>
  </si>
  <si>
    <t>EVNP-0100</t>
  </si>
  <si>
    <t>EVNP-0100-P1</t>
  </si>
  <si>
    <t>Hotel Nepalirika, Damak-E-W Highway</t>
  </si>
  <si>
    <t>+9779717216222</t>
  </si>
  <si>
    <t>https://www.google.com/maps/search/?api=1&amp;query=Hotel%20Nepalirika%2C%20Damak-E-W%20Highway%2C%20Hotel%20Nepalirika%2C%20Damak-E-W%20Highway</t>
  </si>
  <si>
    <t>EVNP-0101</t>
  </si>
  <si>
    <t>EVNP-0101-P1</t>
  </si>
  <si>
    <t>Dorje's Resort &amp; Spa, Pokhara</t>
  </si>
  <si>
    <t>+977-061-590735</t>
  </si>
  <si>
    <t>https://www.google.com/maps/search/?api=1&amp;query=Dorje%27s%20Resort%20%26%20Spa%2C%20Pokhara%2C%20Dorje%27s%20Resort%20%26%20Spa%2C%20Pokhara</t>
  </si>
  <si>
    <t>EVNP-0102</t>
  </si>
  <si>
    <t>EVNP-0102-P1</t>
  </si>
  <si>
    <t>Siddhartha River Side Resort, Butwal</t>
  </si>
  <si>
    <t>Tata</t>
  </si>
  <si>
    <t>+9779851151478</t>
  </si>
  <si>
    <t>https://www.google.com/maps/search/?api=1&amp;query=Siddhartha%20River%20Side%20Resort%2C%20Butwal%2C%20Siddhartha%20River%20Side%20Resort%2C%20Butwal</t>
  </si>
  <si>
    <t>EVNP-0103</t>
  </si>
  <si>
    <t>EVNP-0103-P1</t>
  </si>
  <si>
    <t>Taaj River Side Resort, Butwal</t>
  </si>
  <si>
    <t>+9779851088440</t>
  </si>
  <si>
    <t>https://www.google.com/maps/search/?api=1&amp;query=Taaj%20River%20Side%20Resort%2C%20Butwal%2C%20Taaj%20River%20Side%20Resort%2C%20Butwal</t>
  </si>
  <si>
    <t>EVNP-0104</t>
  </si>
  <si>
    <t>EVNP-0104-P1</t>
  </si>
  <si>
    <t>Sipradi Trading, Pokhara</t>
  </si>
  <si>
    <t>+977-061538499</t>
  </si>
  <si>
    <t>https://www.google.com/maps/search/?api=1&amp;query=Sipradi%20Trading%2C%20Pokhara%2C%20Sipradi%20Trading%2C%20Pokhara</t>
  </si>
  <si>
    <t>EVNP-0105</t>
  </si>
  <si>
    <t>EVNP-0105-P1</t>
  </si>
  <si>
    <t>Sipradi Trading, Itahari</t>
  </si>
  <si>
    <t>https://www.google.com/maps/search/?api=1&amp;query=Sipradi%20Trading%2C%20Itahari%2C%20Sipradi%20Trading%2C%20Itahari</t>
  </si>
  <si>
    <t>EVNP-0106</t>
  </si>
  <si>
    <t>EVNP-0106-P1</t>
  </si>
  <si>
    <t>Sipradi Trading, Dhaijan Jhapa</t>
  </si>
  <si>
    <t>+977-023460037</t>
  </si>
  <si>
    <t>https://www.google.com/maps/search/?api=1&amp;query=Sipradi%20Trading%2C%20Dhaijan%20Jhapa%2C%20Sipradi%20Trading%2C%20Dhaijan%20Jhapa</t>
  </si>
  <si>
    <t>EVNP-0107</t>
  </si>
  <si>
    <t>EVNP-0107-P1</t>
  </si>
  <si>
    <t>Sipradi Trading, Butwal</t>
  </si>
  <si>
    <t>+9779801089801</t>
  </si>
  <si>
    <t>https://www.google.com/maps/search/?api=1&amp;query=Sipradi%20Trading%2C%20Butwal%2C%20Sipradi%20Trading%2C%20Butwal</t>
  </si>
  <si>
    <t>EVNP-0108</t>
  </si>
  <si>
    <t>EVNP-0108-P1</t>
  </si>
  <si>
    <t>Sipradi Trading, Simara</t>
  </si>
  <si>
    <t>https://www.google.com/maps/search/?api=1&amp;query=Sipradi%20Trading%2C%20Simara%2C%20Sipradi%20Trading%2C%20Simara</t>
  </si>
  <si>
    <t>EVNP-0109</t>
  </si>
  <si>
    <t>EVNP-0109-P1</t>
  </si>
  <si>
    <t>Sipradi Trading, Basamadi, Hetauda</t>
  </si>
  <si>
    <t>+9779801909862</t>
  </si>
  <si>
    <t>https://www.google.com/maps/search/?api=1&amp;query=Sipradi%20Trading%2C%20Basamadi%2C%20Hetauda%2C%20Sipradi%20Trading%2C%20Basamadi%2C%20Hetauda</t>
  </si>
  <si>
    <t>EVNP-0110</t>
  </si>
  <si>
    <t>EVNP-0110-P1</t>
  </si>
  <si>
    <t>Sipradi Trading, Chitwan</t>
  </si>
  <si>
    <t>https://www.google.com/maps/search/?api=1&amp;query=Sipradi%20Trading%2C%20Chitwan%2C%20Sipradi%20Trading%2C%20Chitwan</t>
  </si>
  <si>
    <t>EVNP-0111</t>
  </si>
  <si>
    <t>EVNP-0111-P1</t>
  </si>
  <si>
    <t>Sipradi Trading, Bhairahawa</t>
  </si>
  <si>
    <t>+977-071561033</t>
  </si>
  <si>
    <t>https://www.google.com/maps/search/?api=1&amp;query=Sipradi%20Trading%2C%20Bhairahawa%2C%20Sipradi%20Trading%2C%20Bhairahawa</t>
  </si>
  <si>
    <t>EVNP-0112</t>
  </si>
  <si>
    <t>EVNP-0112-P1</t>
  </si>
  <si>
    <t>Sipradi Trading, Nepalgunj</t>
  </si>
  <si>
    <t>https://www.google.com/maps/search/?api=1&amp;query=Sipradi%20Trading%2C%20Nepalgunj%2C%20Sipradi%20Trading%2C%20Nepalgunj</t>
  </si>
  <si>
    <t>EVNP-0113</t>
  </si>
  <si>
    <t>EVNP-0113-P1</t>
  </si>
  <si>
    <t>Sipradi Trading, Dhangadhi</t>
  </si>
  <si>
    <t>+977-091415051</t>
  </si>
  <si>
    <t>https://www.google.com/maps/search/?api=1&amp;query=Sipradi%20Trading%2C%20Dhangadhi%2C%20Sipradi%20Trading%2C%20Dhangadhi</t>
  </si>
  <si>
    <t>EVNP-0114</t>
  </si>
  <si>
    <t>EVNP-0114-P1</t>
  </si>
  <si>
    <t>Sipradi Trading, Dhalkebar</t>
  </si>
  <si>
    <t>+9779814837866</t>
  </si>
  <si>
    <t>https://www.google.com/maps/search/?api=1&amp;query=Sipradi%20Trading%2C%20Dhalkebar%2C%20Sipradi%20Trading%2C%20Dhalkebar</t>
  </si>
  <si>
    <t>EVNP-0115</t>
  </si>
  <si>
    <t>EVNP-0115-P1</t>
  </si>
  <si>
    <t>+977-082580312</t>
  </si>
  <si>
    <t>EVNP-0116</t>
  </si>
  <si>
    <t>EVNP-0116-P1</t>
  </si>
  <si>
    <t>Sipradi Service Center, Bhaktapur Branch</t>
  </si>
  <si>
    <t>+9779801008333</t>
  </si>
  <si>
    <t>https://www.google.com/maps/search/?api=1&amp;query=Sipradi%20Service%20Center%2C%20Bhaktapur%20Branch%2C%20Sipradi%20Service%20Center%2C%20Bhaktapur%20Branch</t>
  </si>
  <si>
    <t>EVNP-0117</t>
  </si>
  <si>
    <t>EVNP-0117-P1</t>
  </si>
  <si>
    <t>Sipradi Bharatpur, Chitwan (SH Motors)</t>
  </si>
  <si>
    <t>https://www.google.com/maps/search/?api=1&amp;query=Sipradi%20Bharatpur%2C%20Chitwan%20%28SH%20Motors%29%2C%20Sipradi%20Bharatpur%2C%20Chitwan%20%28SH%20Motors%29</t>
  </si>
  <si>
    <t>EVNP-0118</t>
  </si>
  <si>
    <t>EVNP-0118-P1</t>
  </si>
  <si>
    <t>Chhaya Center, Thamel</t>
  </si>
  <si>
    <t>+977-015252125</t>
  </si>
  <si>
    <t>https://www.google.com/maps/search/?api=1&amp;query=Chhaya%20Center%2C%20Thamel%2C%20Chhaya%20Center%2C%20Thamel</t>
  </si>
  <si>
    <t>EVNP-0119</t>
  </si>
  <si>
    <t>EVNP-0119-P1</t>
  </si>
  <si>
    <t>Tata Service Center, Nepalgunj</t>
  </si>
  <si>
    <t>+977-081403083</t>
  </si>
  <si>
    <t>https://www.google.com/maps/search/?api=1&amp;query=Tata%20Service%20Center%2C%20Nepalgunj%2C%20Tata%20Service%20Center%2C%20Nepalgunj</t>
  </si>
  <si>
    <t>EVNP-0120</t>
  </si>
  <si>
    <t>EVNP-0120-P1</t>
  </si>
  <si>
    <t>Ilam</t>
  </si>
  <si>
    <t>CG Motors (Neta)</t>
  </si>
  <si>
    <t>GB/T</t>
  </si>
  <si>
    <t>plug_type='GB/T' | power_type='30Kw - DC'</t>
  </si>
  <si>
    <t>+9779842627073</t>
  </si>
  <si>
    <t>https://www.google.com/maps/search/?api=1&amp;query=Ilam%2C%20Ilam</t>
  </si>
  <si>
    <t>EVNP-0121</t>
  </si>
  <si>
    <t>EVNP-0121-P1</t>
  </si>
  <si>
    <t>Hile, Dhankuta</t>
  </si>
  <si>
    <t>Hile</t>
  </si>
  <si>
    <t>Dhankuta</t>
  </si>
  <si>
    <t>+9779842455775</t>
  </si>
  <si>
    <t>https://www.google.com/maps/search/?api=1&amp;query=Hile%2C%20Dhankuta%2C%20Hile%2C%20Dhankuta</t>
  </si>
  <si>
    <t>EVNP-0122</t>
  </si>
  <si>
    <t>EVNP-0122-P1</t>
  </si>
  <si>
    <t>Lahan, Siraha</t>
  </si>
  <si>
    <t>Lahan</t>
  </si>
  <si>
    <t>+9779815785299</t>
  </si>
  <si>
    <t>https://www.google.com/maps/search/?api=1&amp;query=Lahan%2C%20Siraha%2C%20Lahan%2C%20Siraha</t>
  </si>
  <si>
    <t>EVNP-0122-P2</t>
  </si>
  <si>
    <t>plug_type='CCS2' | power_type='30Kw - DC'</t>
  </si>
  <si>
    <t>EVNP-0123</t>
  </si>
  <si>
    <t>EVNP-0123-P1</t>
  </si>
  <si>
    <t>Janakpur/Ramchowk, Dhanusha</t>
  </si>
  <si>
    <t>Dhanusha</t>
  </si>
  <si>
    <t>+9779817837555</t>
  </si>
  <si>
    <t>https://www.google.com/maps/search/?api=1&amp;query=Janakpur/Ramchowk%2C%20Dhanusha%2C%20Janakpur/Ramchowk%2C%20Dhanusha</t>
  </si>
  <si>
    <t>EVNP-0124</t>
  </si>
  <si>
    <t>EVNP-0124-P1</t>
  </si>
  <si>
    <t>Gaighat, Udaypur</t>
  </si>
  <si>
    <t>+9779702402177</t>
  </si>
  <si>
    <t>https://www.google.com/maps/search/?api=1&amp;query=Gaighat%2C%20Udaypur%2C%20Gaighat%2C%20Udaypur</t>
  </si>
  <si>
    <t>EVNP-0124-P2</t>
  </si>
  <si>
    <t>EVNP-0125</t>
  </si>
  <si>
    <t>EVNP-0125-P1</t>
  </si>
  <si>
    <t>+9779854040533</t>
  </si>
  <si>
    <t>https://www.google.com/maps/search/?api=1&amp;query=Sindhuli%2C%20Sindhuli</t>
  </si>
  <si>
    <t>EVNP-0126</t>
  </si>
  <si>
    <t>EVNP-0126-P1</t>
  </si>
  <si>
    <t>Malekhu Rajdhani Hotel, Dhading</t>
  </si>
  <si>
    <t>Dhading</t>
  </si>
  <si>
    <t>+9779841627778</t>
  </si>
  <si>
    <t>https://www.google.com/maps/search/?api=1&amp;query=Malekhu%20Rajdhani%20Hotel%2C%20Dhading%2C%20Malekhu%20Rajdhani%20Hotel%2C%20Dhading</t>
  </si>
  <si>
    <t>EVNP-0126-P2</t>
  </si>
  <si>
    <t>EVNP-0127</t>
  </si>
  <si>
    <t>EVNP-0127-P1</t>
  </si>
  <si>
    <t>Sukute, Sindhupalchwok</t>
  </si>
  <si>
    <t>+9779849470792</t>
  </si>
  <si>
    <t>https://www.google.com/maps/search/?api=1&amp;query=Sukute%2C%20Sindhupalchwok%2C%20Sukute%2C%20Sindhupalchwok</t>
  </si>
  <si>
    <t>EVNP-0128</t>
  </si>
  <si>
    <t>EVNP-0128-P1</t>
  </si>
  <si>
    <t>Jiri Road, Charikot, Dolakha</t>
  </si>
  <si>
    <t>+9779844238011</t>
  </si>
  <si>
    <t>https://www.google.com/maps/search/?api=1&amp;query=Jiri%20Road%2C%20Charikot%2C%20Dolakha%2C%20Jiri%20Road%2C%20Charikot%2C%20Dolakha</t>
  </si>
  <si>
    <t>EVNP-0129</t>
  </si>
  <si>
    <t>EVNP-0129-P1</t>
  </si>
  <si>
    <t>Chautara, Sindhupalchwok</t>
  </si>
  <si>
    <t>+9779841924445</t>
  </si>
  <si>
    <t>https://www.google.com/maps/search/?api=1&amp;query=Chautara%2C%20Sindhupalchwok%2C%20Chautara%2C%20Sindhupalchwok</t>
  </si>
  <si>
    <t>EVNP-0130</t>
  </si>
  <si>
    <t>EVNP-0130-P1</t>
  </si>
  <si>
    <t>Trishuli, Nuwakot</t>
  </si>
  <si>
    <t>Trishuli</t>
  </si>
  <si>
    <t>+9779751133545</t>
  </si>
  <si>
    <t>https://www.google.com/maps/search/?api=1&amp;query=Trishuli%2C%20Nuwakot%2C%20Trishuli%2C%20Nuwakot</t>
  </si>
  <si>
    <t>EVNP-0131</t>
  </si>
  <si>
    <t>EVNP-0131-P1</t>
  </si>
  <si>
    <t>+9779801091901</t>
  </si>
  <si>
    <t>https://www.google.com/maps/search/?api=1&amp;query=Bhaktapur%2C%20Bhaktapur</t>
  </si>
  <si>
    <t>EVNP-0131-P2</t>
  </si>
  <si>
    <t>EVNP-0132</t>
  </si>
  <si>
    <t>EVNP-0132-P1</t>
  </si>
  <si>
    <t>Gangabu, Kathmandu</t>
  </si>
  <si>
    <t>Gangabu</t>
  </si>
  <si>
    <t>+9779851075116</t>
  </si>
  <si>
    <t>https://www.google.com/maps/search/?api=1&amp;query=Gangabu%2C%20Kathmandu%2C%20Gangabu%2C%20Kathmandu</t>
  </si>
  <si>
    <t>EVNP-0133</t>
  </si>
  <si>
    <t>EVNP-0133-P1</t>
  </si>
  <si>
    <t>Manthali, Ramechhap</t>
  </si>
  <si>
    <t>Manthali</t>
  </si>
  <si>
    <t>Ramechhap</t>
  </si>
  <si>
    <t>+9779854040400</t>
  </si>
  <si>
    <t>https://www.google.com/maps/search/?api=1&amp;query=Manthali%2C%20Ramechhap%2C%20Manthali%2C%20Ramechhap</t>
  </si>
  <si>
    <t>EVNP-0134</t>
  </si>
  <si>
    <t>EVNP-0134-P1</t>
  </si>
  <si>
    <t>Nepalthok</t>
  </si>
  <si>
    <t>+9779815838507</t>
  </si>
  <si>
    <t>https://www.google.com/maps/search/?api=1&amp;query=Nepalthok%2C%20Nepalthok</t>
  </si>
  <si>
    <t>EVNP-0135</t>
  </si>
  <si>
    <t>EVNP-0135-P1</t>
  </si>
  <si>
    <t>Bharatpur Milan chowk, Chitwan</t>
  </si>
  <si>
    <t>+9779801360570</t>
  </si>
  <si>
    <t>https://www.google.com/maps/search/?api=1&amp;query=Bharatpur%20Milan%20chowk%2C%20Chitwan%2C%20Bharatpur%20Milan%20chowk%2C%20Chitwan</t>
  </si>
  <si>
    <t>EVNP-0135-P2</t>
  </si>
  <si>
    <t>EVNP-0136</t>
  </si>
  <si>
    <t>EVNP-0136-P1</t>
  </si>
  <si>
    <t>+9779811260276</t>
  </si>
  <si>
    <t>https://www.google.com/maps/search/?api=1&amp;query=Hetauda%2C%20Hetauda</t>
  </si>
  <si>
    <t>EVNP-0136-P2</t>
  </si>
  <si>
    <t>EVNP-0137</t>
  </si>
  <si>
    <t>EVNP-0137-P1</t>
  </si>
  <si>
    <t>Mangaltar Roshi, Sindhuli</t>
  </si>
  <si>
    <t>+9779851006433</t>
  </si>
  <si>
    <t>https://www.google.com/maps/search/?api=1&amp;query=Mangaltar%20Roshi%2C%20Sindhuli%2C%20Mangaltar%20Roshi%2C%20Sindhuli</t>
  </si>
  <si>
    <t>EVNP-0137-P2</t>
  </si>
  <si>
    <t>EVNP-0138</t>
  </si>
  <si>
    <t>EVNP-0138-P1</t>
  </si>
  <si>
    <t>Medicity</t>
  </si>
  <si>
    <t>+9779849320165</t>
  </si>
  <si>
    <t>https://www.google.com/maps/search/?api=1&amp;query=Medicity%2C%20Medicity</t>
  </si>
  <si>
    <t>EVNP-0139</t>
  </si>
  <si>
    <t>EVNP-0139-P1</t>
  </si>
  <si>
    <t>Nalinchwok, Bhaktapur</t>
  </si>
  <si>
    <t>Nalinchwok</t>
  </si>
  <si>
    <t>+9779841028754</t>
  </si>
  <si>
    <t>https://www.google.com/maps/search/?api=1&amp;query=Nalinchwok%2C%20Bhaktapur%2C%20Nalinchwok%2C%20Bhaktapur</t>
  </si>
  <si>
    <t>EVNP-0140</t>
  </si>
  <si>
    <t>EVNP-0140-P1</t>
  </si>
  <si>
    <t>Parwanipur, Bara</t>
  </si>
  <si>
    <t>Parwanipur</t>
  </si>
  <si>
    <t>Bara</t>
  </si>
  <si>
    <t>https://www.google.com/maps/search/?api=1&amp;query=Parwanipur%2C%20Bara%2C%20Parwanipur%2C%20Bara</t>
  </si>
  <si>
    <t>EVNP-0140-P2</t>
  </si>
  <si>
    <t>EVNP-0141</t>
  </si>
  <si>
    <t>EVNP-0141-P1</t>
  </si>
  <si>
    <t>Nepalgunj- Buspark, Banke</t>
  </si>
  <si>
    <t>+9779866814609</t>
  </si>
  <si>
    <t>https://www.google.com/maps/search/?api=1&amp;query=Nepalgunj-%20Buspark%2C%20Banke%2C%20Nepalgunj-%20Buspark%2C%20Banke</t>
  </si>
  <si>
    <t>EVNP-0141-P2</t>
  </si>
  <si>
    <t>EVNP-0142</t>
  </si>
  <si>
    <t>EVNP-0142-P1</t>
  </si>
  <si>
    <t>Surkhet- Padamtar</t>
  </si>
  <si>
    <t>+9779869703075</t>
  </si>
  <si>
    <t>https://www.google.com/maps/search/?api=1&amp;query=Surkhet-%20Padamtar%2C%20Surkhet-%20Padamtar</t>
  </si>
  <si>
    <t>EVNP-0143</t>
  </si>
  <si>
    <t>EVNP-0143-P1</t>
  </si>
  <si>
    <t>Mahendranagar, Kanchanpur</t>
  </si>
  <si>
    <t>Mahendranagar</t>
  </si>
  <si>
    <t>Kanchanpur</t>
  </si>
  <si>
    <t>+9779848750158</t>
  </si>
  <si>
    <t>https://www.google.com/maps/search/?api=1&amp;query=Mahendranagar%2C%20Kanchanpur%2C%20Mahendranagar%2C%20Kanchanpur</t>
  </si>
  <si>
    <t>EVNP-0144</t>
  </si>
  <si>
    <t>EVNP-0144-P1</t>
  </si>
  <si>
    <t>Toofan Danda, Dadeldhura</t>
  </si>
  <si>
    <t>Toofan Danda</t>
  </si>
  <si>
    <t>Dadeldhura</t>
  </si>
  <si>
    <t>https://www.google.com/maps/search/?api=1&amp;query=Toofan%20Danda%2C%20Dadeldhura%2C%20Toofan%20Danda%2C%20Dadeldhura</t>
  </si>
  <si>
    <t>EVNP-0145</t>
  </si>
  <si>
    <t>EVNP-0145-P1</t>
  </si>
  <si>
    <t>Dhangadhi Showroom, Kailali</t>
  </si>
  <si>
    <t>https://www.google.com/maps/search/?api=1&amp;query=Dhangadhi%20Showroom%2C%20Kailali%2C%20Dhangadhi%20Showroom%2C%20Kailali</t>
  </si>
  <si>
    <t>EVNP-0146</t>
  </si>
  <si>
    <t>EVNP-0146-P1</t>
  </si>
  <si>
    <t>Chisapani, Kailali</t>
  </si>
  <si>
    <t>Chisapani</t>
  </si>
  <si>
    <t>+9779858485784</t>
  </si>
  <si>
    <t>https://www.google.com/maps/search/?api=1&amp;query=Chisapani%2C%20Kailali%2C%20Chisapani%2C%20Kailali</t>
  </si>
  <si>
    <t>EVNP-0146-P2</t>
  </si>
  <si>
    <t>EVNP-0147</t>
  </si>
  <si>
    <t>EVNP-0147-P1</t>
  </si>
  <si>
    <t>Harkapur, Ghurmi, Okhaldhunga</t>
  </si>
  <si>
    <t>Harkapur</t>
  </si>
  <si>
    <t>Okhaldhunga</t>
  </si>
  <si>
    <t>+9779811724858</t>
  </si>
  <si>
    <t>https://www.google.com/maps/search/?api=1&amp;query=Harkapur%2C%20Ghurmi%2C%20Okhaldhunga%2C%20Harkapur%2C%20Ghurmi%2C%20Okhaldhunga</t>
  </si>
  <si>
    <t>EVNP-0148</t>
  </si>
  <si>
    <t>EVNP-0148-P1</t>
  </si>
  <si>
    <t>Ramtar, Hamro Hotel, Sindhuli</t>
  </si>
  <si>
    <t>Ramtar</t>
  </si>
  <si>
    <t>https://www.google.com/maps/search/?api=1&amp;query=Ramtar%2C%20Hamro%20Hotel%2C%20Sindhuli%2C%20Ramtar%2C%20Hamro%20Hotel%2C%20Sindhuli</t>
  </si>
  <si>
    <t>EVNP-0149</t>
  </si>
  <si>
    <t>EVNP-0149-P1</t>
  </si>
  <si>
    <t>Pokhara, Kaski</t>
  </si>
  <si>
    <t>Pokhara</t>
  </si>
  <si>
    <t>+9779856018789</t>
  </si>
  <si>
    <t>https://www.google.com/maps/search/?api=1&amp;query=Pokhara%2C%20Kaski%2C%20Pokhara%2C%20Kaski</t>
  </si>
  <si>
    <t>EVNP-0149-P2</t>
  </si>
  <si>
    <t>EVNP-0150</t>
  </si>
  <si>
    <t>EVNP-0150-P1</t>
  </si>
  <si>
    <t>Dang SVC, Dang</t>
  </si>
  <si>
    <t>+9779857821410</t>
  </si>
  <si>
    <t>https://www.google.com/maps/search/?api=1&amp;query=Dang%20SVC%2C%20Dang%2C%20Dang%20SVC%2C%20Dang</t>
  </si>
  <si>
    <t>EVNP-0150-P2</t>
  </si>
  <si>
    <t>EVNP-0151</t>
  </si>
  <si>
    <t>EVNP-0151-P1</t>
  </si>
  <si>
    <t>Butwal-Jitgadi, Rupandehi</t>
  </si>
  <si>
    <t>+9779857025963</t>
  </si>
  <si>
    <t>https://www.google.com/maps/search/?api=1&amp;query=Butwal-Jitgadi%2C%20Rupandehi%2C%20Butwal-Jitgadi%2C%20Rupandehi</t>
  </si>
  <si>
    <t>EVNP-0152</t>
  </si>
  <si>
    <t>EVNP-0152-P1</t>
  </si>
  <si>
    <t>Argakhanchi</t>
  </si>
  <si>
    <t>https://www.google.com/maps/search/?api=1&amp;query=Argakhanchi%2C%20Argakhanchi</t>
  </si>
  <si>
    <t>EVNP-0153</t>
  </si>
  <si>
    <t>EVNP-0153-P1</t>
  </si>
  <si>
    <t>Naxal, Kathmandu</t>
  </si>
  <si>
    <t>Naxal</t>
  </si>
  <si>
    <t>+9779820105055</t>
  </si>
  <si>
    <t>https://www.google.com/maps/search/?api=1&amp;query=Naxal%2C%20Kathmandu%2C%20Naxal%2C%20Kathmandu</t>
  </si>
  <si>
    <t>EVNP-0154</t>
  </si>
  <si>
    <t>EVNP-0154-P1</t>
  </si>
  <si>
    <t>Hattiban, Lalitpur</t>
  </si>
  <si>
    <t>Hattiban</t>
  </si>
  <si>
    <t>+9779802326653</t>
  </si>
  <si>
    <t>https://www.google.com/maps/search/?api=1&amp;query=Hattiban%2C%20Lalitpur%2C%20Hattiban%2C%20Lalitpur</t>
  </si>
  <si>
    <t>EVNP-0154-P2</t>
  </si>
  <si>
    <t>EVNP-0155</t>
  </si>
  <si>
    <t>EVNP-0155-P1</t>
  </si>
  <si>
    <t>NEA-Matatirtha, Kathmandu</t>
  </si>
  <si>
    <t>https://www.google.com/maps/search/?api=1&amp;query=NEA-Matatirtha%2C%20Kathmandu%2C%20NEA-Matatirtha%2C%20Kathmandu</t>
  </si>
  <si>
    <t>EVNP-0156</t>
  </si>
  <si>
    <t>EVNP-0156-P1</t>
  </si>
  <si>
    <t>Mudhe, Charikot, Dolakha</t>
  </si>
  <si>
    <t>Mudhe</t>
  </si>
  <si>
    <t>https://www.google.com/maps/search/?api=1&amp;query=Mudhe%2C%20Charikot%2C%20Dolakha%2C%20Mudhe%2C%20Charikot%2C%20Dolakha</t>
  </si>
  <si>
    <t>EVNP-0157</t>
  </si>
  <si>
    <t>EVNP-0157-P1</t>
  </si>
  <si>
    <t>Jiri Road, Charikot</t>
  </si>
  <si>
    <t>https://www.google.com/maps/search/?api=1&amp;query=Jiri%20Road%2C%20Charikot%2C%20Jiri%20Road%2C%20Charikot</t>
  </si>
  <si>
    <t>EVNP-0158</t>
  </si>
  <si>
    <t>EVNP-0158-P1</t>
  </si>
  <si>
    <t>Syangja Rangkhola</t>
  </si>
  <si>
    <t>Syangja</t>
  </si>
  <si>
    <t>+9779846095201</t>
  </si>
  <si>
    <t>https://www.google.com/maps/search/?api=1&amp;query=Syangja%20Rangkhola%2C%20Syangja%20Rangkhola</t>
  </si>
  <si>
    <t>EVNP-0159</t>
  </si>
  <si>
    <t>EVNP-0159-P1</t>
  </si>
  <si>
    <t>Damak to be replaced, Mechi</t>
  </si>
  <si>
    <t>https://www.google.com/maps/search/?api=1&amp;query=Damak%20to%20be%20replaced%2C%20Mechi%2C%20Damak%20to%20be%20replaced%2C%20Mechi</t>
  </si>
  <si>
    <t>EVNP-0160</t>
  </si>
  <si>
    <t>EVNP-0160-P1</t>
  </si>
  <si>
    <t>Benighat, Dhading</t>
  </si>
  <si>
    <t>Benighat</t>
  </si>
  <si>
    <t>+9779851051074</t>
  </si>
  <si>
    <t>https://www.google.com/maps/search/?api=1&amp;query=Benighat%2C%20Dhading%2C%20Benighat%2C%20Dhading</t>
  </si>
  <si>
    <t>EVNP-0160-P2</t>
  </si>
  <si>
    <t>EVNP-0161</t>
  </si>
  <si>
    <t>EVNP-0161-P1</t>
  </si>
  <si>
    <t>Photex Service Center, Mechi</t>
  </si>
  <si>
    <t>https://www.google.com/maps/search/?api=1&amp;query=Photex%20Service%20Center%2C%20Mechi%2C%20Photex%20Service%20Center%2C%20Mechi</t>
  </si>
  <si>
    <t>EVNP-0162</t>
  </si>
  <si>
    <t>EVNP-0162-P1</t>
  </si>
  <si>
    <t>Phoex Show room, Jhapa</t>
  </si>
  <si>
    <t>https://www.google.com/maps/search/?api=1&amp;query=Phoex%20Show%20room%2C%20Jhapa%2C%20Phoex%20Show%20room%2C%20Jhapa</t>
  </si>
  <si>
    <t>EVNP-0163</t>
  </si>
  <si>
    <t>EVNP-0163-P1</t>
  </si>
  <si>
    <t>Fidim, Panchthar</t>
  </si>
  <si>
    <t>Fidim</t>
  </si>
  <si>
    <t>Panchthar</t>
  </si>
  <si>
    <t>https://www.google.com/maps/search/?api=1&amp;query=Fidim%2C%20Panchthar%2C%20Fidim%2C%20Panchthar</t>
  </si>
  <si>
    <t>EVNP-0164</t>
  </si>
  <si>
    <t>EVNP-0164-P1</t>
  </si>
  <si>
    <t>Future Service Center, Itahari</t>
  </si>
  <si>
    <t>https://www.google.com/maps/search/?api=1&amp;query=Future%20Service%20Center%2C%20Itahari%2C%20Future%20Service%20Center%2C%20Itahari</t>
  </si>
  <si>
    <t>EVNP-0165</t>
  </si>
  <si>
    <t>EVNP-0165-P1</t>
  </si>
  <si>
    <t>Rajbiraj, Saptari</t>
  </si>
  <si>
    <t>Rajbiraj</t>
  </si>
  <si>
    <t>Saptari</t>
  </si>
  <si>
    <t>https://www.google.com/maps/search/?api=1&amp;query=Rajbiraj%2C%20Saptari%2C%20Rajbiraj%2C%20Saptari</t>
  </si>
  <si>
    <t>EVNP-0166</t>
  </si>
  <si>
    <t>EVNP-0166-P1</t>
  </si>
  <si>
    <t>https://www.google.com/maps/search/?api=1&amp;query=Itahari%2C%20Itahari</t>
  </si>
  <si>
    <t>EVNP-0167</t>
  </si>
  <si>
    <t>EVNP-0167-P1</t>
  </si>
  <si>
    <t>Lahan, Gaur</t>
  </si>
  <si>
    <t>https://www.google.com/maps/search/?api=1&amp;query=Lahan%2C%20Gaur%2C%20Lahan%2C%20Gaur</t>
  </si>
  <si>
    <t>EVNP-0168</t>
  </si>
  <si>
    <t>EVNP-0168-P1</t>
  </si>
  <si>
    <t>https://www.google.com/maps/search/?api=1&amp;query=Dhankuta%2C%20Dhankuta</t>
  </si>
  <si>
    <t>EVNP-0169</t>
  </si>
  <si>
    <t>EVNP-0169-P1</t>
  </si>
  <si>
    <t>Bhimad Tanahun</t>
  </si>
  <si>
    <t>Tanahun</t>
  </si>
  <si>
    <t>+9779816943111</t>
  </si>
  <si>
    <t>https://www.google.com/maps/search/?api=1&amp;query=Bhimad%20Tanahun%2C%20Bhimad%20Tanahun</t>
  </si>
  <si>
    <t>EVNP-0170</t>
  </si>
  <si>
    <t>EVNP-0170-P1</t>
  </si>
  <si>
    <t>Sindhuli Showroom, Sindhuli</t>
  </si>
  <si>
    <t>https://www.google.com/maps/search/?api=1&amp;query=Sindhuli%20Showroom%2C%20Sindhuli%2C%20Sindhuli%20Showroom%2C%20Sindhuli</t>
  </si>
  <si>
    <t>EVNP-0170-P2</t>
  </si>
  <si>
    <t>EVNP-0171</t>
  </si>
  <si>
    <t>EVNP-0171-P1</t>
  </si>
  <si>
    <t>Gaighat</t>
  </si>
  <si>
    <t>https://www.google.com/maps/search/?api=1&amp;query=Gaighat%2C%20Gaighat</t>
  </si>
  <si>
    <t>EVNP-0172</t>
  </si>
  <si>
    <t>EVNP-0172-P1</t>
  </si>
  <si>
    <t>Chiyabari, Sindhuli</t>
  </si>
  <si>
    <t>Chiyabari</t>
  </si>
  <si>
    <t>+9779851245112</t>
  </si>
  <si>
    <t>https://www.google.com/maps/search/?api=1&amp;query=Chiyabari%2C%20Sindhuli%2C%20Chiyabari%2C%20Sindhuli</t>
  </si>
  <si>
    <t>EVNP-0173</t>
  </si>
  <si>
    <t>EVNP-0173-P1</t>
  </si>
  <si>
    <t>Khandbari</t>
  </si>
  <si>
    <t>https://www.google.com/maps/search/?api=1&amp;query=Khandbari%2C%20Khandbari</t>
  </si>
  <si>
    <t>EVNP-0174</t>
  </si>
  <si>
    <t>EVNP-0174-P1</t>
  </si>
  <si>
    <t>Charikot, Dolakha</t>
  </si>
  <si>
    <t>Charikot</t>
  </si>
  <si>
    <t>https://www.google.com/maps/search/?api=1&amp;query=Charikot%2C%20Dolakha%2C%20Charikot%2C%20Dolakha</t>
  </si>
  <si>
    <t>EVNP-0174-P2</t>
  </si>
  <si>
    <t>EVNP-0175</t>
  </si>
  <si>
    <t>EVNP-0175-P1</t>
  </si>
  <si>
    <t>Bhiman, Sindhuli</t>
  </si>
  <si>
    <t>Bhiman</t>
  </si>
  <si>
    <t>+9779844009006</t>
  </si>
  <si>
    <t>https://www.google.com/maps/search/?api=1&amp;query=Bhiman%2C%20Sindhuli%2C%20Bhiman%2C%20Sindhuli</t>
  </si>
  <si>
    <t>EVNP-0175-P2</t>
  </si>
  <si>
    <t>EVNP-0176</t>
  </si>
  <si>
    <t>EVNP-0176-P1</t>
  </si>
  <si>
    <t>Jhangajhuli, Sindhuli</t>
  </si>
  <si>
    <t>+9779851129081</t>
  </si>
  <si>
    <t>https://www.google.com/maps/search/?api=1&amp;query=Jhangajhuli%2C%20Sindhuli%2C%20Jhangajhuli%2C%20Sindhuli</t>
  </si>
  <si>
    <t>EVNP-0177</t>
  </si>
  <si>
    <t>EVNP-0177-P1</t>
  </si>
  <si>
    <t>Mangaltar, Sindhuli</t>
  </si>
  <si>
    <t>Mangaltar</t>
  </si>
  <si>
    <t>https://www.google.com/maps/search/?api=1&amp;query=Mangaltar%2C%20Sindhuli%2C%20Mangaltar%2C%20Sindhuli</t>
  </si>
  <si>
    <t>EVNP-0178</t>
  </si>
  <si>
    <t>EVNP-0178-P1</t>
  </si>
  <si>
    <t>Kawasoti</t>
  </si>
  <si>
    <t>https://www.google.com/maps/search/?api=1&amp;query=Kawasoti%2C%20Kawasoti</t>
  </si>
  <si>
    <t>EVNP-0179</t>
  </si>
  <si>
    <t>EVNP-0179-P1</t>
  </si>
  <si>
    <t>Dumre, Tanahun</t>
  </si>
  <si>
    <t>Dumre</t>
  </si>
  <si>
    <t>https://www.google.com/maps/search/?api=1&amp;query=Dumre%2C%20Tanahun%2C%20Dumre%2C%20Tanahun</t>
  </si>
  <si>
    <t>EVNP-0180</t>
  </si>
  <si>
    <t>EVNP-0180-P1</t>
  </si>
  <si>
    <t>UCV, Nawalpur</t>
  </si>
  <si>
    <t>Nawalpur</t>
  </si>
  <si>
    <t>https://www.google.com/maps/search/?api=1&amp;query=UCV%2C%20Nawalpur%2C%20UCV%2C%20Nawalpur</t>
  </si>
  <si>
    <t>EVNP-0180-P2</t>
  </si>
  <si>
    <t>EVNP-0181</t>
  </si>
  <si>
    <t>EVNP-0181-P1</t>
  </si>
  <si>
    <t>Besisahar, Lamjung</t>
  </si>
  <si>
    <t>Besisahar</t>
  </si>
  <si>
    <t>Lamjung</t>
  </si>
  <si>
    <t>https://www.google.com/maps/search/?api=1&amp;query=Besisahar%2C%20Lamjung%2C%20Besisahar%2C%20Lamjung</t>
  </si>
  <si>
    <t>EVNP-0182</t>
  </si>
  <si>
    <t>EVNP-0182-P1</t>
  </si>
  <si>
    <t>Thakuwar, Banke</t>
  </si>
  <si>
    <t>Thakuwar</t>
  </si>
  <si>
    <t>https://www.google.com/maps/search/?api=1&amp;query=Thakuwar%2C%20Banke%2C%20Thakuwar%2C%20Banke</t>
  </si>
  <si>
    <t>EVNP-0183</t>
  </si>
  <si>
    <t>EVNP-0183-P1</t>
  </si>
  <si>
    <t>Baglung</t>
  </si>
  <si>
    <t>https://www.google.com/maps/search/?api=1&amp;query=Baglung%2C%20Baglung</t>
  </si>
  <si>
    <t>EVNP-0184</t>
  </si>
  <si>
    <t>EVNP-0184-P1</t>
  </si>
  <si>
    <t>BardhaGhat, Nawalparasi</t>
  </si>
  <si>
    <t>Nawalparasi</t>
  </si>
  <si>
    <t>https://www.google.com/maps/search/?api=1&amp;query=BardhaGhat%2C%20Nawalparasi%2C%20BardhaGhat%2C%20Nawalparasi</t>
  </si>
  <si>
    <t>EVNP-0185</t>
  </si>
  <si>
    <t>EVNP-0185-P1</t>
  </si>
  <si>
    <t>Gulmi</t>
  </si>
  <si>
    <t>https://www.google.com/maps/search/?api=1&amp;query=Gulmi%2C%20Gulmi</t>
  </si>
  <si>
    <t>EVNP-0186</t>
  </si>
  <si>
    <t>EVNP-0186-P1</t>
  </si>
  <si>
    <t>Koteshwor, Kathmandu</t>
  </si>
  <si>
    <t>Koteshwor</t>
  </si>
  <si>
    <t>https://www.google.com/maps/search/?api=1&amp;query=Koteshwor%2C%20Kathmandu%2C%20Koteshwor%2C%20Kathmandu</t>
  </si>
  <si>
    <t>EVNP-0187</t>
  </si>
  <si>
    <t>EVNP-0187-P1</t>
  </si>
  <si>
    <t>Balaju SVC, Kathmandu</t>
  </si>
  <si>
    <t>https://www.google.com/maps/search/?api=1&amp;query=Balaju%20SVC%2C%20Kathmandu%2C%20Balaju%20SVC%2C%20Kathmandu</t>
  </si>
  <si>
    <t>EVNP-0188</t>
  </si>
  <si>
    <t>EVNP-0188-P1</t>
  </si>
  <si>
    <t>Maharaj Gunj, Kathmandu</t>
  </si>
  <si>
    <t>Maharaj Gunj</t>
  </si>
  <si>
    <t>https://www.google.com/maps/search/?api=1&amp;query=Maharaj%20Gunj%2C%20Kathmandu%2C%20Maharaj%20Gunj%2C%20Kathmandu</t>
  </si>
  <si>
    <t>EVNP-0189</t>
  </si>
  <si>
    <t>EVNP-0189-P1</t>
  </si>
  <si>
    <t>Butwal</t>
  </si>
  <si>
    <t>https://www.google.com/maps/search/?api=1&amp;query=Butwal%2C%20Butwal</t>
  </si>
  <si>
    <t>EVNP-0190</t>
  </si>
  <si>
    <t>EVNP-0190-P1</t>
  </si>
  <si>
    <t>CGIP, Nawalpur</t>
  </si>
  <si>
    <t>https://www.google.com/maps/search/?api=1&amp;query=CGIP%2C%20Nawalpur%2C%20CGIP%2C%20Nawalpur</t>
  </si>
  <si>
    <t>EVNP-0191</t>
  </si>
  <si>
    <t>EVNP-0191-P1</t>
  </si>
  <si>
    <t>Devdaha, Nawalpur</t>
  </si>
  <si>
    <t>Devdaha</t>
  </si>
  <si>
    <t>https://www.google.com/maps/search/?api=1&amp;query=Devdaha%2C%20Nawalpur%2C%20Devdaha%2C%20Nawalpur</t>
  </si>
  <si>
    <t>EVNP-0192</t>
  </si>
  <si>
    <t>EVNP-0192-P1</t>
  </si>
  <si>
    <t>Kohalpur, Banke</t>
  </si>
  <si>
    <t>+9779858022655</t>
  </si>
  <si>
    <t>https://www.google.com/maps/search/?api=1&amp;query=Kohalpur%2C%20Banke%2C%20Kohalpur%2C%20Banke</t>
  </si>
  <si>
    <t>EVNP-0192-P2</t>
  </si>
  <si>
    <t>EVNP-0193</t>
  </si>
  <si>
    <t>EVNP-0193-P1</t>
  </si>
  <si>
    <t>Budar, Doti</t>
  </si>
  <si>
    <t>Budar</t>
  </si>
  <si>
    <t>Doti</t>
  </si>
  <si>
    <t>https://www.google.com/maps/search/?api=1&amp;query=Budar%2C%20Doti%2C%20Budar%2C%20Doti</t>
  </si>
  <si>
    <t>EVNP-0193-P2</t>
  </si>
  <si>
    <t>EVNP-0194</t>
  </si>
  <si>
    <t>EVNP-0194-P1</t>
  </si>
  <si>
    <t>Waling, Syangja</t>
  </si>
  <si>
    <t>Waling</t>
  </si>
  <si>
    <t>https://www.google.com/maps/search/?api=1&amp;query=Waling%2C%20Syangja%2C%20Waling%2C%20Syangja</t>
  </si>
  <si>
    <t>EVNP-0195</t>
  </si>
  <si>
    <t>EVNP-0195-P1</t>
  </si>
  <si>
    <t>Kusma/Beni, Parbat/Myagdi</t>
  </si>
  <si>
    <t>Myagdi</t>
  </si>
  <si>
    <t>https://www.google.com/maps/search/?api=1&amp;query=Kusma/Beni%2C%20Parbat/Myagdi%2C%20Kusma/Beni%2C%20Parbat/Myagdi</t>
  </si>
  <si>
    <t>EVNP-0196</t>
  </si>
  <si>
    <t>EVNP-0196-P1</t>
  </si>
  <si>
    <t>Butwal, Rupandehi</t>
  </si>
  <si>
    <t>https://www.google.com/maps/search/?api=1&amp;query=Butwal%2C%20Rupandehi%2C%20Butwal%2C%20Rupandehi</t>
  </si>
  <si>
    <t>EVNP-0197</t>
  </si>
  <si>
    <t>EVNP-0197-P1</t>
  </si>
  <si>
    <t>Sallibazar, Salyan</t>
  </si>
  <si>
    <t>Sallibazar</t>
  </si>
  <si>
    <t>Salyan</t>
  </si>
  <si>
    <t>https://www.google.com/maps/search/?api=1&amp;query=Sallibazar%2C%20Salyan%2C%20Sallibazar%2C%20Salyan</t>
  </si>
  <si>
    <t>EVNP-0198</t>
  </si>
  <si>
    <t>EVNP-0198-P1</t>
  </si>
  <si>
    <t>Katari/Bhiman, Udaypur</t>
  </si>
  <si>
    <t>https://www.google.com/maps/search/?api=1&amp;query=Katari/Bhiman%2C%20Udaypur%2C%20Katari/Bhiman%2C%20Udaypur</t>
  </si>
  <si>
    <t>EVNP-0199</t>
  </si>
  <si>
    <t>EVNP-0199-P1</t>
  </si>
  <si>
    <t>Devdaha, Rupandehi</t>
  </si>
  <si>
    <t>https://www.google.com/maps/search/?api=1&amp;query=Devdaha%2C%20Rupandehi%2C%20Devdaha%2C%20Rupandehi</t>
  </si>
  <si>
    <t>EVNP-0200</t>
  </si>
  <si>
    <t>EVNP-0200-P1</t>
  </si>
  <si>
    <t>Halesi, Khotang</t>
  </si>
  <si>
    <t>Halesi</t>
  </si>
  <si>
    <t>Khotang</t>
  </si>
  <si>
    <t>https://www.google.com/maps/search/?api=1&amp;query=Halesi%2C%20Khotang%2C%20Halesi%2C%20Khotang</t>
  </si>
  <si>
    <t>EVNP-0201</t>
  </si>
  <si>
    <t>EVNP-0201-P1</t>
  </si>
  <si>
    <t>Rajapur, Bardiya</t>
  </si>
  <si>
    <t>Rajapur</t>
  </si>
  <si>
    <t>Bardiya</t>
  </si>
  <si>
    <t>https://www.google.com/maps/search/?api=1&amp;query=Rajapur%2C%20Bardiya%2C%20Rajapur%2C%20Bardiya</t>
  </si>
  <si>
    <t>EVNP-0202</t>
  </si>
  <si>
    <t>EVNP-0202-P1</t>
  </si>
  <si>
    <t>Bhurigaun, Bardiya</t>
  </si>
  <si>
    <t>Bhurigaun</t>
  </si>
  <si>
    <t>https://www.google.com/maps/search/?api=1&amp;query=Bhurigaun%2C%20Bardiya%2C%20Bhurigaun%2C%20Bardiya</t>
  </si>
  <si>
    <t>EVNP-0203</t>
  </si>
  <si>
    <t>EVNP-0203-P1</t>
  </si>
  <si>
    <t>Chakchke, Pyuthan</t>
  </si>
  <si>
    <t>Pyuthan</t>
  </si>
  <si>
    <t>https://www.google.com/maps/search/?api=1&amp;query=Chakchke%2C%20Pyuthan%2C%20Chakchke%2C%20Pyuthan</t>
  </si>
  <si>
    <t>EVNP-0204</t>
  </si>
  <si>
    <t>EVNP-0204-P1</t>
  </si>
  <si>
    <t>Bhalubang, Dang</t>
  </si>
  <si>
    <t>Bhalubang</t>
  </si>
  <si>
    <t>https://www.google.com/maps/search/?api=1&amp;query=Bhalubang%2C%20Dang%2C%20Bhalubang%2C%20Dang</t>
  </si>
  <si>
    <t>EVNP-0205</t>
  </si>
  <si>
    <t>EVNP-0205-P1</t>
  </si>
  <si>
    <t>Bhairawa, Rupandehi</t>
  </si>
  <si>
    <t>Bhairawa</t>
  </si>
  <si>
    <t>https://www.google.com/maps/search/?api=1&amp;query=Bhairawa%2C%20Rupandehi%2C%20Bhairawa%2C%20Rupandehi</t>
  </si>
  <si>
    <t>EVNP-0206</t>
  </si>
  <si>
    <t>EVNP-0206-P1</t>
  </si>
  <si>
    <t>Chapur, Rautahat</t>
  </si>
  <si>
    <t>Chapur</t>
  </si>
  <si>
    <t>Rautahat</t>
  </si>
  <si>
    <t>https://www.google.com/maps/search/?api=1&amp;query=Chapur%2C%20Rautahat%2C%20Chapur%2C%20Rautahat</t>
  </si>
  <si>
    <t>EVNP-0207</t>
  </si>
  <si>
    <t>EVNP-0207-P1</t>
  </si>
  <si>
    <t>Bhardaha,Saptari</t>
  </si>
  <si>
    <t>Bhardaha</t>
  </si>
  <si>
    <t>https://www.google.com/maps/search/?api=1&amp;query=Bhardaha%2CSaptari%2C%20Bhardaha%2CSaptari</t>
  </si>
  <si>
    <t>EVNP-0208</t>
  </si>
  <si>
    <t>EVNP-0208-P1</t>
  </si>
  <si>
    <t>Mastar Dhading</t>
  </si>
  <si>
    <t>https://www.google.com/maps/search/?api=1&amp;query=Mastar%20Dhading%2C%20Mastar%20Dhading</t>
  </si>
  <si>
    <t>EVNP-0209</t>
  </si>
  <si>
    <t>EVNP-0209-P1</t>
  </si>
  <si>
    <t>Kapan, Kathmandu</t>
  </si>
  <si>
    <t>Kapan</t>
  </si>
  <si>
    <t>https://www.google.com/maps/search/?api=1&amp;query=Kapan%2C%20Kathmandu%2C%20Kapan%2C%20Kathmandu</t>
  </si>
  <si>
    <t>EVNP-0210</t>
  </si>
  <si>
    <t>EVNP-0210-P1</t>
  </si>
  <si>
    <t>Charikot, Sindhupalchowk</t>
  </si>
  <si>
    <t>https://www.google.com/maps/search/?api=1&amp;query=Charikot%2C%20Sindhupalchowk%2C%20Charikot%2C%20Sindhupalchowk</t>
  </si>
  <si>
    <t>EVNP-0211</t>
  </si>
  <si>
    <t>EVNP-0211-P1</t>
  </si>
  <si>
    <t>Ratamate Jhangholi, Sindhuli</t>
  </si>
  <si>
    <t>https://www.google.com/maps/search/?api=1&amp;query=Ratamate%20Jhangholi%2C%20Sindhuli%2C%20Ratamate%20Jhangholi%2C%20Sindhuli</t>
  </si>
  <si>
    <t>EVNP-0212</t>
  </si>
  <si>
    <t>EVNP-0212-P1</t>
  </si>
  <si>
    <t>+9779858051975</t>
  </si>
  <si>
    <t>https://www.google.com/maps/search/?api=1&amp;query=Surkhet%2C%20Surkhet</t>
  </si>
  <si>
    <t>EVNP-0213</t>
  </si>
  <si>
    <t>EVNP-0213-P1</t>
  </si>
  <si>
    <t>Attariya, Kailali</t>
  </si>
  <si>
    <t>Attariya</t>
  </si>
  <si>
    <t>https://www.google.com/maps/search/?api=1&amp;query=Attariya%2C%20Kailali%2C%20Attariya%2C%20Kailali</t>
  </si>
  <si>
    <t>EVNP-0214</t>
  </si>
  <si>
    <t>EVNP-0214-P1</t>
  </si>
  <si>
    <t>Pahelopul – Workshop, Kathmandu</t>
  </si>
  <si>
    <t>https://www.google.com/maps/search/?api=1&amp;query=Pahelopul%20%E2%80%93%20Workshop%2C%20Kathmandu%2C%20Pahelopul%20%E2%80%93%20Workshop%2C%20Kathmandu</t>
  </si>
  <si>
    <t>EVNP-0214-P2</t>
  </si>
  <si>
    <t>EVNP-0215</t>
  </si>
  <si>
    <t>EVNP-0215-P1</t>
  </si>
  <si>
    <t>Sobhabhagwati, Kathmandu</t>
  </si>
  <si>
    <t>Sobhabhagwati</t>
  </si>
  <si>
    <t>+9779851002956</t>
  </si>
  <si>
    <t>https://www.google.com/maps/search/?api=1&amp;query=Sobhabhagwati%2C%20Kathmandu%2C%20Sobhabhagwati%2C%20Kathmandu</t>
  </si>
  <si>
    <t>EVNP-0216</t>
  </si>
  <si>
    <t>EVNP-0216-P1</t>
  </si>
  <si>
    <t>Basundhara, Kathmandu</t>
  </si>
  <si>
    <t>Basundhara</t>
  </si>
  <si>
    <t>+9779868199829</t>
  </si>
  <si>
    <t>https://www.google.com/maps/search/?api=1&amp;query=Basundhara%2C%20Kathmandu%2C%20Basundhara%2C%20Kathmandu</t>
  </si>
  <si>
    <t>EVNP-0217</t>
  </si>
  <si>
    <t>EVNP-0217-P1</t>
  </si>
  <si>
    <t>Marine, Sindhuli</t>
  </si>
  <si>
    <t>https://www.google.com/maps/search/?api=1&amp;query=Marine%2C%20Sindhuli%2C%20Marine%2C%20Sindhuli</t>
  </si>
  <si>
    <t>EVNP-0218</t>
  </si>
  <si>
    <t>EVNP-0218-P1</t>
  </si>
  <si>
    <t>Birgunj Bus Park, Birgunj</t>
  </si>
  <si>
    <t>https://www.google.com/maps/search/?api=1&amp;query=Birgunj%20Bus%20Park%2C%20Birgunj%2C%20Birgunj%20Bus%20Park%2C%20Birgunj</t>
  </si>
  <si>
    <t>EVNP-0219</t>
  </si>
  <si>
    <t>EVNP-0219-P1</t>
  </si>
  <si>
    <t>Bardibas, Dhanusha</t>
  </si>
  <si>
    <t>Bardibas</t>
  </si>
  <si>
    <t>https://www.google.com/maps/search/?api=1&amp;query=Bardibas%2C%20Dhanusha%2C%20Bardibas%2C%20Dhanusha</t>
  </si>
  <si>
    <t>EVNP-0220</t>
  </si>
  <si>
    <t>EVNP-0220-P1</t>
  </si>
  <si>
    <t>Dumre, Hetauda</t>
  </si>
  <si>
    <t>+9779856027830</t>
  </si>
  <si>
    <t>https://www.google.com/maps/search/?api=1&amp;query=Dumre%2C%20Hetauda%2C%20Dumre%2C%20Hetauda</t>
  </si>
  <si>
    <t>EVNP-0221</t>
  </si>
  <si>
    <t>EVNP-0221-P1</t>
  </si>
  <si>
    <t>Kia, Biratnagar</t>
  </si>
  <si>
    <t>Kia</t>
  </si>
  <si>
    <t>plug_type='CCS2' | power_type='DC (30kW DC)'</t>
  </si>
  <si>
    <t>+977-0985105800</t>
  </si>
  <si>
    <t>https://www.google.com/maps/search/?api=1&amp;query=Kia%2C%20Biratnagar%2C%20Kia%2C%20Biratnagar</t>
  </si>
  <si>
    <t>EVNP-0222</t>
  </si>
  <si>
    <t>EVNP-0222-P1</t>
  </si>
  <si>
    <t>Kia, Birtamod</t>
  </si>
  <si>
    <t>+977-0985106224</t>
  </si>
  <si>
    <t>https://www.google.com/maps/search/?api=1&amp;query=Kia%2C%20Birtamod%2C%20Kia%2C%20Birtamod</t>
  </si>
  <si>
    <t>EVNP-0223</t>
  </si>
  <si>
    <t>EVNP-0223-P1</t>
  </si>
  <si>
    <t>Kia, Butwal</t>
  </si>
  <si>
    <t>+977-0985106061</t>
  </si>
  <si>
    <t>https://www.google.com/maps/search/?api=1&amp;query=Kia%2C%20Butwal%2C%20Kia%2C%20Butwal</t>
  </si>
  <si>
    <t>EVNP-0224</t>
  </si>
  <si>
    <t>EVNP-0224-P1</t>
  </si>
  <si>
    <t>Kia, Dhangadhi</t>
  </si>
  <si>
    <t>+977-0985106062</t>
  </si>
  <si>
    <t>https://www.google.com/maps/search/?api=1&amp;query=Kia%2C%20Dhangadhi%2C%20Kia%2C%20Dhangadhi</t>
  </si>
  <si>
    <t>EVNP-0225</t>
  </si>
  <si>
    <t>EVNP-0225-P1</t>
  </si>
  <si>
    <t>Kia, Nepalgunj</t>
  </si>
  <si>
    <t>+977-0985107621</t>
  </si>
  <si>
    <t>https://www.google.com/maps/search/?api=1&amp;query=Kia%2C%20Nepalgunj%2C%20Kia%2C%20Nepalgunj</t>
  </si>
  <si>
    <t>EVNP-0226</t>
  </si>
  <si>
    <t>EVNP-0226-P1</t>
  </si>
  <si>
    <t>Kia, Pokhara</t>
  </si>
  <si>
    <t>+977-061590232</t>
  </si>
  <si>
    <t>https://www.google.com/maps/search/?api=1&amp;query=Kia%2C%20Pokhara%2C%20Kia%2C%20Pokhara</t>
  </si>
  <si>
    <t>EVNP-0227</t>
  </si>
  <si>
    <t>EVNP-0227-P1</t>
  </si>
  <si>
    <t>Kia, Surkhet</t>
  </si>
  <si>
    <t>+977-098510600</t>
  </si>
  <si>
    <t>https://www.google.com/maps/search/?api=1&amp;query=Kia%2C%20Surkhet%2C%20Kia%2C%20Surkhet</t>
  </si>
  <si>
    <t>EVNP-0228</t>
  </si>
  <si>
    <t>EVNP-0228-P1</t>
  </si>
  <si>
    <t>Kanchanbari Charging Point, Pokhara, Biratnagar</t>
  </si>
  <si>
    <t>ElectriVa</t>
  </si>
  <si>
    <t>60.0</t>
  </si>
  <si>
    <t>plug_type='CCS2' | power_type='DC (60 kW DC)'</t>
  </si>
  <si>
    <t>+9779851146835</t>
  </si>
  <si>
    <t>https://www.google.com/maps/search/?api=1&amp;query=Kanchanbari%20Charging%20Point%2C%20Pokhara%2C%20Biratnagar%2C%20Kanchanbari%20Charging%20Point%2C%20Pokhara%2C%20Biratnagar</t>
  </si>
  <si>
    <t>EVNP-0229</t>
  </si>
  <si>
    <t>EVNP-0229-P1</t>
  </si>
  <si>
    <t>Janakpur Charging Point, Hotel Rajdurabar Nwang Resort</t>
  </si>
  <si>
    <t>+9779851360847</t>
  </si>
  <si>
    <t>https://www.google.com/maps/search/?api=1&amp;query=Janakpur%20Charging%20Point%2C%20Hotel%20Rajdurabar%20Nwang%20Resort%2C%20Janakpur%20Charging%20Point%2C%20Hotel%20Rajdurabar%20Nwang%20Resort</t>
  </si>
  <si>
    <t>EVNP-0230</t>
  </si>
  <si>
    <t>EVNP-0230-P1</t>
  </si>
  <si>
    <t>Hanumannagar Charging Point, Bhardaha</t>
  </si>
  <si>
    <t>https://www.google.com/maps/search/?api=1&amp;query=Hanumannagar%20Charging%20Point%2C%20Bhardaha%2C%20Hanumannagar%20Charging%20Point%2C%20Bhardaha</t>
  </si>
  <si>
    <t>EVNP-0231</t>
  </si>
  <si>
    <t>EVNP-0231-P1</t>
  </si>
  <si>
    <t>Shree Nagar and Nefo Coffee Shop Charging Point, Benighat</t>
  </si>
  <si>
    <t>https://www.google.com/maps/search/?api=1&amp;query=Shree%20Nagar%20and%20Nefo%20Coffee%20Shop%20Charging%20Point%2C%20Benighat%2C%20Shree%20Nagar%20and%20Nefo%20Coffee%20Shop%20Charging%20Point%2C%20Benighat</t>
  </si>
  <si>
    <t>EVNP-0232</t>
  </si>
  <si>
    <t>EVNP-0232-P1</t>
  </si>
  <si>
    <t>Sauraha Tharu Gaun Charging Point, Malpur Road, Ratnanagar</t>
  </si>
  <si>
    <t>https://www.google.com/maps/search/?api=1&amp;query=Sauraha%20Tharu%20Gaun%20Charging%20Point%2C%20Malpur%20Road%2C%20Ratnanagar%2C%20Sauraha%20Tharu%20Gaun%20Charging%20Point%2C%20Malpur%20Road%2C%20Ratnanagar</t>
  </si>
  <si>
    <t>EVNP-0233</t>
  </si>
  <si>
    <t>EVNP-0233-P1</t>
  </si>
  <si>
    <t>Ashok Resort Pvt. Ltd. Charging Point, Bharatpur</t>
  </si>
  <si>
    <t>https://www.google.com/maps/search/?api=1&amp;query=Ashok%20Resort%20Pvt.%20Ltd.%20Charging%20Point%2C%20Bharatpur%2C%20Ashok%20Resort%20Pvt.%20Ltd.%20Charging%20Point%2C%20Bharatpur</t>
  </si>
  <si>
    <t>EVNP-0234</t>
  </si>
  <si>
    <t>EVNP-0234-P1</t>
  </si>
  <si>
    <t>Darechowk, Kurintar</t>
  </si>
  <si>
    <t>Thee Digo (e-Stop)</t>
  </si>
  <si>
    <t>CCS2;GB/T</t>
  </si>
  <si>
    <t>plug_type='CCS2/GB2' | power_type='DC (60 kW DC)'</t>
  </si>
  <si>
    <t>+9779801859655</t>
  </si>
  <si>
    <t>https://www.google.com/maps/search/?api=1&amp;query=Darechowk%2C%20Kurintar%2C%20Darechowk%2C%20Kurintar</t>
  </si>
  <si>
    <t>EVNP-0235</t>
  </si>
  <si>
    <t>EVNP-0235-P1</t>
  </si>
  <si>
    <t>Mid-Hill Hwy, Dumja, Sindhuli</t>
  </si>
  <si>
    <t>+9779851007580</t>
  </si>
  <si>
    <t>https://www.google.com/maps/search/?api=1&amp;query=Mid-Hill%20Hwy%2C%20Dumja%2C%20Sindhuli%2C%20Mid-Hill%20Hwy%2C%20Dumja%2C%20Sindhuli</t>
  </si>
  <si>
    <t>EVNP-0236</t>
  </si>
  <si>
    <t>EVNP-0236-P1</t>
  </si>
  <si>
    <t>https://www.google.com/maps/search/?api=1&amp;query=Nawalparasi%2C%20Nawalparasi</t>
  </si>
  <si>
    <t>EVNP-0237</t>
  </si>
  <si>
    <t>EVNP-0237-P1</t>
  </si>
  <si>
    <t>plug_type='CCS2' | power_type='AC (7.2 kW AC)'</t>
  </si>
  <si>
    <t>+97756410010</t>
  </si>
  <si>
    <t>https://www.google.com/maps/search/?api=1&amp;query=Chitwan%2C%20Chitwan</t>
  </si>
  <si>
    <t>EVNP-0238</t>
  </si>
  <si>
    <t>EVNP-0238-P1</t>
  </si>
  <si>
    <t>Purano Jhangajholi, Mulkot</t>
  </si>
  <si>
    <t>plug_type='GB/T' | power_type='DC (60 kW DC)'</t>
  </si>
  <si>
    <t>+9779841979722</t>
  </si>
  <si>
    <t>https://www.google.com/maps/search/?api=1&amp;query=Purano%20Jhangajholi%2C%20Mulkot%2C%20Purano%20Jhangajholi%2C%20Mulkot</t>
  </si>
  <si>
    <t>EVNP-0239</t>
  </si>
  <si>
    <t>EVNP-0239-P1</t>
  </si>
  <si>
    <t>Kohalpur Bus Park, Kohalpur</t>
  </si>
  <si>
    <t>+9779868268093</t>
  </si>
  <si>
    <t>https://www.google.com/maps/search/?api=1&amp;query=Kohalpur%20Bus%20Park%2C%20Kohalpur%2C%20Kohalpur%20Bus%20Park%2C%20Kohalpur</t>
  </si>
  <si>
    <t>EVNP-0240</t>
  </si>
  <si>
    <t>EVNP-0240-P1</t>
  </si>
  <si>
    <t>Sunkoshi Marin, Kamalamai</t>
  </si>
  <si>
    <t>plug_type='GB/T' | power_type='DC (30 kW DC)'</t>
  </si>
  <si>
    <t>+9779803078941</t>
  </si>
  <si>
    <t>https://www.google.com/maps/search/?api=1&amp;query=Sunkoshi%20Marin%2C%20Kamalamai%2C%20Sunkoshi%20Marin%2C%20Kamalamai</t>
  </si>
  <si>
    <t>EVNP-0241</t>
  </si>
  <si>
    <t>EVNP-0241-P1</t>
  </si>
  <si>
    <t>+9779861208465</t>
  </si>
  <si>
    <t>EVNP-0242</t>
  </si>
  <si>
    <t>EVNP-0242-P1</t>
  </si>
  <si>
    <t>Sandhikharka</t>
  </si>
  <si>
    <t>+9779847412987</t>
  </si>
  <si>
    <t>https://www.google.com/maps/search/?api=1&amp;query=Sandhikharka%2C%20Sandhikharka</t>
  </si>
  <si>
    <t>EVNP-0243</t>
  </si>
  <si>
    <t>EVNP-0243-P1</t>
  </si>
  <si>
    <t>Taulihawa-Gorusinghe-Sandhikharka Road</t>
  </si>
  <si>
    <t>https://www.google.com/maps/search/?api=1&amp;query=Taulihawa-Gorusinghe-Sandhikharka%20Road%2C%20Taulihawa-Gorusinghe-Sandhikharka%20Road</t>
  </si>
  <si>
    <t>EVNP-0244</t>
  </si>
  <si>
    <t>EVNP-0244-P1</t>
  </si>
  <si>
    <t>Kathmandu, Naagpokhari, Naxal</t>
  </si>
  <si>
    <t>+977-014529051</t>
  </si>
  <si>
    <t>https://www.google.com/maps/search/?api=1&amp;query=Kathmandu%2C%20Naagpokhari%2C%20Naxal%2C%20Kathmandu%2C%20Naagpokhari%2C%20Naxal</t>
  </si>
  <si>
    <t>EVNP-0245</t>
  </si>
  <si>
    <t>EVNP-0245-P1</t>
  </si>
  <si>
    <t>Kathmandu, Pepsicola</t>
  </si>
  <si>
    <t>+9779802333423</t>
  </si>
  <si>
    <t>https://www.google.com/maps/search/?api=1&amp;query=Kathmandu%2C%20Pepsicola%2C%20Kathmandu%2C%20Pepsicola</t>
  </si>
  <si>
    <t>EVNP-0246</t>
  </si>
  <si>
    <t>EVNP-0246-P1</t>
  </si>
  <si>
    <t>Riverside spring Resort, Kurintar</t>
  </si>
  <si>
    <t>MG</t>
  </si>
  <si>
    <t>+9779801801336</t>
  </si>
  <si>
    <t>https://www.google.com/maps/search/?api=1&amp;query=Riverside%20spring%20Resort%2C%20Kurintar%2C%20Riverside%20spring%20Resort%2C%20Kurintar</t>
  </si>
  <si>
    <t>EVNP-0247</t>
  </si>
  <si>
    <t>EVNP-0247-P1</t>
  </si>
  <si>
    <t>Akshit Resort and Rafting, Mulkot</t>
  </si>
  <si>
    <t>https://www.google.com/maps/search/?api=1&amp;query=Akshit%20Resort%20and%20Rafting%2C%20Mulkot%2C%20Akshit%20Resort%20and%20Rafting%2C%20Mulkot</t>
  </si>
  <si>
    <t>EVNP-0248</t>
  </si>
  <si>
    <t>EVNP-0248-P1</t>
  </si>
  <si>
    <t>Oliz Store, Itahari</t>
  </si>
  <si>
    <t>+9779820753186</t>
  </si>
  <si>
    <t>https://www.google.com/maps/search/?api=1&amp;query=Oliz%20Store%2C%20Itahari%2C%20Oliz%20Store%2C%20Itahari</t>
  </si>
  <si>
    <t>EVNP-0249</t>
  </si>
  <si>
    <t>EVNP-0249-P1</t>
  </si>
  <si>
    <t>Komal Hotel, Dhalkebar</t>
  </si>
  <si>
    <t>9801670246/9851185378</t>
  </si>
  <si>
    <t>https://www.google.com/maps/search/?api=1&amp;query=Komal%20Hotel%2C%20Dhalkebar%2C%20Komal%20Hotel%2C%20Dhalkebar</t>
  </si>
  <si>
    <t>EVNP-0250</t>
  </si>
  <si>
    <t>EVNP-0250-P1</t>
  </si>
  <si>
    <t>Club Denove, Butwal</t>
  </si>
  <si>
    <t>+9779814468148</t>
  </si>
  <si>
    <t>https://www.google.com/maps/search/?api=1&amp;query=Club%20Denove%2C%20Butwal%2C%20Club%20Denove%2C%20Butwal</t>
  </si>
  <si>
    <t>EVNP-0251</t>
  </si>
  <si>
    <t>EVNP-0251-P1</t>
  </si>
  <si>
    <t>Hotel Jalasa, Dhandaghi</t>
  </si>
  <si>
    <t>91523977</t>
  </si>
  <si>
    <t>https://www.google.com/maps/search/?api=1&amp;query=Hotel%20Jalasa%2C%20Dhandaghi%2C%20Hotel%20Jalasa%2C%20Dhandaghi</t>
  </si>
  <si>
    <t>EVNP-0252</t>
  </si>
  <si>
    <t>EVNP-0252-P1</t>
  </si>
  <si>
    <t>Hotel Pauwa, Pokhara</t>
  </si>
  <si>
    <t>+9779857072513</t>
  </si>
  <si>
    <t>https://www.google.com/maps/search/?api=1&amp;query=Hotel%20Pauwa%2C%20Pokhara%2C%20Hotel%20Pauwa%2C%20Pokhara</t>
  </si>
  <si>
    <t>EVNP-0253</t>
  </si>
  <si>
    <t>EVNP-0253-P1</t>
  </si>
  <si>
    <t>Hotel Pauwa, Bhairahawa</t>
  </si>
  <si>
    <t>71570305</t>
  </si>
  <si>
    <t>https://www.google.com/maps/search/?api=1&amp;query=Hotel%20Pauwa%2C%20Bhairahawa%2C%20Hotel%20Pauwa%2C%20Bhairahawa</t>
  </si>
  <si>
    <t>EVNP-0254</t>
  </si>
  <si>
    <t>EVNP-0254-P1</t>
  </si>
  <si>
    <t>MG Service Center, Kusunti</t>
  </si>
  <si>
    <t>14514033</t>
  </si>
  <si>
    <t>https://www.google.com/maps/search/?api=1&amp;query=MG%20Service%20Center%2C%20Kusunti%2C%20MG%20Service%20Center%2C%20Kusunti</t>
  </si>
  <si>
    <t>EVNP-0255</t>
  </si>
  <si>
    <t>EVNP-0255-P1</t>
  </si>
  <si>
    <t>Hotel Century, Chitwan</t>
  </si>
  <si>
    <t>+977-056-515865</t>
  </si>
  <si>
    <t>https://www.google.com/maps/search/?api=1&amp;query=Hotel%20Century%2C%20Chitwan%2C%20Hotel%20Century%2C%20Chitwan</t>
  </si>
  <si>
    <t>EVNP-0256</t>
  </si>
  <si>
    <t>EVNP-0256-P1</t>
  </si>
  <si>
    <t>Hotel Himalayan Horizon, Bansghari, Dhulikhel</t>
  </si>
  <si>
    <t>Yatri (2-Wheeler)</t>
  </si>
  <si>
    <t>plug_type='CCS2/GBT' | power_type='DC (60 kW DC)'</t>
  </si>
  <si>
    <t>+977-015331116</t>
  </si>
  <si>
    <t>https://www.google.com/maps/search/?api=1&amp;query=Hotel%20Himalayan%20Horizon%2C%20Bansghari%2C%20Dhulikhel%2C%20Hotel%20Himalayan%20Horizon%2C%20Bansghari%2C%20Dhulikhel</t>
  </si>
  <si>
    <t>EVNP-0257</t>
  </si>
  <si>
    <t>EVNP-0257-P1</t>
  </si>
  <si>
    <t>Yatri Motorcycles Experience Center, Thirbam Sadak, Kathmandu</t>
  </si>
  <si>
    <t>Yatri Motorcycles Experience Center</t>
  </si>
  <si>
    <t>plug_type='nan' | power_type='Not specified'</t>
  </si>
  <si>
    <t>+9779801877447</t>
  </si>
  <si>
    <t>https://www.google.com/maps/search/?api=1&amp;query=Yatri%20Motorcycles%20Experience%20Center%2C%20Thirbam%20Sadak%2C%20Kathmandu%2C%20Yatri%20Motorcycles%20Experience%20Center%2C%20Thirbam%20Sadak%2C%20Kathmandu</t>
  </si>
  <si>
    <t>EVNP-0258</t>
  </si>
  <si>
    <t>EVNP-0258-P1</t>
  </si>
  <si>
    <t>Hills n Horizon Resort, Charaundi</t>
  </si>
  <si>
    <t>+977-010420029</t>
  </si>
  <si>
    <t>https://www.google.com/maps/search/?api=1&amp;query=Hills%20n%20Horizon%20Resort%2C%20Charaundi%2C%20Hills%20n%20Horizon%20Resort%2C%20Charaundi</t>
  </si>
  <si>
    <t>EVNP-0259</t>
  </si>
  <si>
    <t>EVNP-0259-P1</t>
  </si>
  <si>
    <t>Royals Home Resort, Aabu Khaireni</t>
  </si>
  <si>
    <t>+977-065540269</t>
  </si>
  <si>
    <t>https://www.google.com/maps/search/?api=1&amp;query=Royals%20Home%20Resort%2C%20Aabu%20Khaireni%2C%20Royals%20Home%20Resort%2C%20Aabu%20Khaireni</t>
  </si>
  <si>
    <t>EVNP-0260</t>
  </si>
  <si>
    <t>EVNP-0260-P1</t>
  </si>
  <si>
    <t>Charikot Hotel Kings &amp; Lodge, Petrol pump side, Bhimeshwor Municipality</t>
  </si>
  <si>
    <t>+9779841498668</t>
  </si>
  <si>
    <t>https://www.google.com/maps/search/?api=1&amp;query=Charikot%20Hotel%20Kings%20%26%20Lodge%2C%20Petrol%20pump%20side%2C%20Bhimeshwor%20Municipality%2C%20Charikot%20Hotel%20Kings%20%26%20Lodge%2C%20Petrol%20pump%20side%2C%20Bhimeshwor%20Municipality</t>
  </si>
  <si>
    <t>EVNP-0261</t>
  </si>
  <si>
    <t>EVNP-0261-P1</t>
  </si>
  <si>
    <t>Burger House, Dharke</t>
  </si>
  <si>
    <t>plug_type='-' | power_type='DC (60 kW DC)'</t>
  </si>
  <si>
    <t>https://www.google.com/maps/search/?api=1&amp;query=Burger%20House%2C%20Dharke%2C%20Burger%20House%2C%20Dharke</t>
  </si>
  <si>
    <t>EVNP-0262</t>
  </si>
  <si>
    <t>EVNP-0262-P1</t>
  </si>
  <si>
    <t>The Original Highway Restaurant, Damauli</t>
  </si>
  <si>
    <t>https://www.google.com/maps/search/?api=1&amp;query=The%20Original%20Highway%20Restaurant%2C%20Damauli%2C%20The%20Original%20Highway%20Restaurant%2C%20Damauli</t>
  </si>
  <si>
    <t>EVNP-0263</t>
  </si>
  <si>
    <t>EVNP-0263-P1</t>
  </si>
  <si>
    <t>Greenfield Cottage, Paudi, Lamjung</t>
  </si>
  <si>
    <t>https://www.google.com/maps/search/?api=1&amp;query=Greenfield%20Cottage%2C%20Paudi%2C%20Lamjung%2C%20Greenfield%20Cottage%2C%20Paudi%2C%20Lamjung</t>
  </si>
  <si>
    <t>EVNP-0264</t>
  </si>
  <si>
    <t>EVNP-0264-P1</t>
  </si>
  <si>
    <t>Coffee O'clock, Bharatpur</t>
  </si>
  <si>
    <t>https://www.google.com/maps/search/?api=1&amp;query=Coffee%20O%27clock%2C%20Bharatpur%2C%20Coffee%20O%27clock%2C%20Bharatpur</t>
  </si>
  <si>
    <t>EVNP-0265</t>
  </si>
  <si>
    <t>EVNP-0265-P1</t>
  </si>
  <si>
    <t>Aircharge</t>
  </si>
  <si>
    <t>plug_type='CCS2 + GB/T' | power_type='DC'</t>
  </si>
  <si>
    <t>(+977-9761888797)</t>
  </si>
  <si>
    <t>https://www.google.com/maps/search/?api=1&amp;query=Nuwakot%2C%20Nuwakot</t>
  </si>
  <si>
    <t>EVNP-0266</t>
  </si>
  <si>
    <t>EVNP-0266-P1</t>
  </si>
  <si>
    <t>https://www.google.com/maps/search/?api=1&amp;query=Pokhara%2C%20Pokhara</t>
  </si>
  <si>
    <t>EVNP-0267</t>
  </si>
  <si>
    <t>EVNP-0267-P1</t>
  </si>
  <si>
    <t>Malekhu</t>
  </si>
  <si>
    <t>https://www.google.com/maps/search/?api=1&amp;query=Malekhu%2C%20Malekhu</t>
  </si>
  <si>
    <t>EVNP-0268</t>
  </si>
  <si>
    <t>EVNP-0268-P1</t>
  </si>
  <si>
    <t>https://www.google.com/maps/search/?api=1&amp;query=Attariya%2C%20Attariya</t>
  </si>
  <si>
    <t>EVNP-0269</t>
  </si>
  <si>
    <t>EVNP-0269-P1</t>
  </si>
  <si>
    <t>https://www.google.com/maps/search/?api=1&amp;query=Bardibas%2C%20Bardibas</t>
  </si>
  <si>
    <t>EVNP-0270</t>
  </si>
  <si>
    <t>EVNP-0270-P1</t>
  </si>
  <si>
    <t>Gwarko</t>
  </si>
  <si>
    <t>https://www.google.com/maps/search/?api=1&amp;query=Gwarko%2C%20Gwarko</t>
  </si>
  <si>
    <t>EVNP-0271</t>
  </si>
  <si>
    <t>EVNP-0271-P1</t>
  </si>
  <si>
    <t>EVNP-0272</t>
  </si>
  <si>
    <t>EVNP-0272-P1</t>
  </si>
  <si>
    <t>Samakhushi</t>
  </si>
  <si>
    <t>https://www.google.com/maps/search/?api=1&amp;query=Samakhushi%2C%20Samakhushi</t>
  </si>
  <si>
    <t>EVNP-0273</t>
  </si>
  <si>
    <t>EVNP-0273-P1</t>
  </si>
  <si>
    <t>Satdobato</t>
  </si>
  <si>
    <t>https://www.google.com/maps/search/?api=1&amp;query=Satdobato%2C%20Satdobato</t>
  </si>
  <si>
    <t>EVNP-0274</t>
  </si>
  <si>
    <t>EVNP-0274-P1</t>
  </si>
  <si>
    <t>EVNP-0275</t>
  </si>
  <si>
    <t>EVNP-0275-P1</t>
  </si>
  <si>
    <t>Damak</t>
  </si>
  <si>
    <t>https://www.google.com/maps/search/?api=1&amp;query=Damak%2C%20Damak</t>
  </si>
  <si>
    <t>EVNP-0276</t>
  </si>
  <si>
    <t>EVNP-0276-P1</t>
  </si>
  <si>
    <t>https://www.google.com/maps/search/?api=1&amp;query=Lamahi%2C%20Lamahi</t>
  </si>
  <si>
    <t>EVNP-0277</t>
  </si>
  <si>
    <t>EVNP-0277-P1</t>
  </si>
  <si>
    <t>https://www.google.com/maps/search/?api=1&amp;query=Kohalpur%2C%20Kohalpur</t>
  </si>
  <si>
    <t>EVNP-0278</t>
  </si>
  <si>
    <t>EVNP-0278-P1</t>
  </si>
  <si>
    <t>EVNP-0279</t>
  </si>
  <si>
    <t>EVNP-0279-P1</t>
  </si>
  <si>
    <t>Gaidakot</t>
  </si>
  <si>
    <t>https://www.google.com/maps/search/?api=1&amp;query=Gaidakot%2C%20Gaidakot</t>
  </si>
  <si>
    <t>EVNP-0280</t>
  </si>
  <si>
    <t>EVNP-0280-P1</t>
  </si>
  <si>
    <t>Jorpati</t>
  </si>
  <si>
    <t>https://www.google.com/maps/search/?api=1&amp;query=Jorpati%2C%20Jorpati</t>
  </si>
  <si>
    <t>EVNP-0281</t>
  </si>
  <si>
    <t>EVNP-0281-P1</t>
  </si>
  <si>
    <t>Katari</t>
  </si>
  <si>
    <t>https://www.google.com/maps/search/?api=1&amp;query=Katari%2C%20Katari</t>
  </si>
  <si>
    <t>EVNP-0282</t>
  </si>
  <si>
    <t>EVNP-0282-P1</t>
  </si>
  <si>
    <t>Ridhi EV Charging Station</t>
  </si>
  <si>
    <t>Independent / Other Host</t>
  </si>
  <si>
    <t>Near Rashwa Bivag</t>
  </si>
  <si>
    <t>https://www.google.com/maps/search/?api=1&amp;query=Ridhi%20EV%20Charging%20Station%2C%20Near%20Rashwa%20Bivag</t>
  </si>
  <si>
    <t>EVNP-0283</t>
  </si>
  <si>
    <t>EVNP-0283-P1</t>
  </si>
  <si>
    <t>Hotel Yes</t>
  </si>
  <si>
    <t>Independent Host (Hotel/Resort/Restaurant)</t>
  </si>
  <si>
    <t>B.P. Highway, Bardibas 45701</t>
  </si>
  <si>
    <t>https://www.google.com/maps/search/?api=1&amp;query=Hotel%20Yes%2C%20B.P.%20Highway%2C%20Bardibas%2045701</t>
  </si>
  <si>
    <t>EVNP-0284</t>
  </si>
  <si>
    <t>EVNP-0284-P1</t>
  </si>
  <si>
    <t>Hotel Gunja Bardibas</t>
  </si>
  <si>
    <t>https://www.google.com/maps/search/?api=1&amp;query=Hotel%20Gunja%20Bardibas%2C%20Bardibas</t>
  </si>
  <si>
    <t>EVNP-0285</t>
  </si>
  <si>
    <t>EVNP-0285-P1</t>
  </si>
  <si>
    <t>Bauwa Hotel And Guest House</t>
  </si>
  <si>
    <t>XWJ9+2HQ, Mithila 45600</t>
  </si>
  <si>
    <t>https://www.google.com/maps/search/?api=1&amp;query=Bauwa%20Hotel%20And%20Guest%20House%2C%20XWJ9%2B2HQ%2C%20Mithila%2045600</t>
  </si>
  <si>
    <t>EVNP-0286</t>
  </si>
  <si>
    <t>EVNP-0286-P1</t>
  </si>
  <si>
    <t>Prime Auto Traders</t>
  </si>
  <si>
    <t>2VJR+M66, Birgunj 44400</t>
  </si>
  <si>
    <t>https://www.google.com/maps/search/?api=1&amp;query=Prime%20Auto%20Traders%2C%202VJR%2BM66%2C%20Birgunj%2044400</t>
  </si>
  <si>
    <t>EVNP-0287</t>
  </si>
  <si>
    <t>EVNP-0287-P1</t>
  </si>
  <si>
    <t>Townhall Party Palace and Hotel Peace Garden</t>
  </si>
  <si>
    <t>44300, Birgunj</t>
  </si>
  <si>
    <t>https://www.google.com/maps/search/?api=1&amp;query=Townhall%20Party%20Palace%20and%20Hotel%20Peace%20Garden%2C%2044300%2C%20Birgunj</t>
  </si>
  <si>
    <t>EVNP-0288</t>
  </si>
  <si>
    <t>EVNP-0288-P1</t>
  </si>
  <si>
    <t>Minolta Investment, Birgunj</t>
  </si>
  <si>
    <t>Birgunj - Ghahawa 08, Birguj, Buspark, Birgunj 44300</t>
  </si>
  <si>
    <t>https://www.google.com/maps/search/?api=1&amp;query=Minolta%20Investment%2C%20Birgunj%2C%20Birgunj%20-%20Ghahawa%2008%2C%20Birguj%2C%20Buspark%2C%20Birgunj%2044300</t>
  </si>
  <si>
    <t>EVNP-0289</t>
  </si>
  <si>
    <t>EVNP-0289-P1</t>
  </si>
  <si>
    <t>Hotel Makalu Pvt. Ltd. Adarsh Nagar, Birgunj</t>
  </si>
  <si>
    <t>Makalu Hotel, Birgunj 44300</t>
  </si>
  <si>
    <t>https://www.google.com/maps/search/?api=1&amp;query=Hotel%20Makalu%20Pvt.%20Ltd.%20Adarsh%20Nagar%2C%20Birgunj%2C%20Makalu%20Hotel%2C%20Birgunj%2044300</t>
  </si>
  <si>
    <t>EVNP-0290</t>
  </si>
  <si>
    <t>EVNP-0290-P1</t>
  </si>
  <si>
    <t>RR Charging Station</t>
  </si>
  <si>
    <t>NMC Road Birgunj</t>
  </si>
  <si>
    <t>https://www.google.com/maps/search/?api=1&amp;query=RR%20Charging%20Station%2C%20NMC%20Road%20Birgunj</t>
  </si>
  <si>
    <t>EVNP-0291</t>
  </si>
  <si>
    <t>EVNP-0291-P1</t>
  </si>
  <si>
    <t>Hotel Tarai Inn</t>
  </si>
  <si>
    <t>Chapur Chowk, Chandrapur 44515</t>
  </si>
  <si>
    <t>https://www.google.com/maps/search/?api=1&amp;query=Hotel%20Tarai%20Inn%2C%20Chapur%20Chowk%2C%20Chandrapur%2044515</t>
  </si>
  <si>
    <t>EVNP-0292</t>
  </si>
  <si>
    <t>EVNP-0292-P1</t>
  </si>
  <si>
    <t>Chapur Charging Station</t>
  </si>
  <si>
    <t>496F+Q3G, Chandrapur 44515</t>
  </si>
  <si>
    <t>https://www.google.com/maps/search/?api=1&amp;query=Chapur%20Charging%20Station%2C%20496F%2BQ3G%2C%20Chandrapur%2044515</t>
  </si>
  <si>
    <t>EVNP-0293</t>
  </si>
  <si>
    <t>EVNP-0293-P1</t>
  </si>
  <si>
    <t>Baba Ko Dhaba - Hotel in Janakpur</t>
  </si>
  <si>
    <t>Laxminiya Janakpur Dham, 45600</t>
  </si>
  <si>
    <t>https://www.google.com/maps/search/?api=1&amp;query=Baba%20Ko%20Dhaba%20-%20Hotel%20in%20Janakpur%2C%20Laxminiya%20Janakpur%20Dham%2C%2045600</t>
  </si>
  <si>
    <t>EVNP-0294</t>
  </si>
  <si>
    <t>EVNP-0294-P1</t>
  </si>
  <si>
    <t>Hotel Rajdurbar and Nabarang Resort Restaurant</t>
  </si>
  <si>
    <t>Mujeliya 14, Janakpur 45600</t>
  </si>
  <si>
    <t>https://www.google.com/maps/search/?api=1&amp;query=Hotel%20Rajdurbar%20and%20Nabarang%20Resort%20Restaurant%2C%20Mujeliya%2014%2C%20Janakpur%2045600</t>
  </si>
  <si>
    <t>EVNP-0295</t>
  </si>
  <si>
    <t>EVNP-0295-P1</t>
  </si>
  <si>
    <t>Girija Automobiles Enterprises</t>
  </si>
  <si>
    <t>PW5J+25F, Janakpur 45600</t>
  </si>
  <si>
    <t>https://www.google.com/maps/search/?api=1&amp;query=Girija%20Automobiles%20Enterprises%2C%20PW5J%2B25F%2C%20Janakpur%2045600</t>
  </si>
  <si>
    <t>EVNP-0296</t>
  </si>
  <si>
    <t>EVNP-0296-P1</t>
  </si>
  <si>
    <t>Ram Janaki Traders</t>
  </si>
  <si>
    <t>QW5H+P8Q, Janakpur 45600</t>
  </si>
  <si>
    <t>https://www.google.com/maps/search/?api=1&amp;query=Ram%20Janaki%20Traders%2C%20QW5H%2BP8Q%2C%20Janakpur%2045600</t>
  </si>
  <si>
    <t>EVNP-0297</t>
  </si>
  <si>
    <t>EVNP-0297-P1</t>
  </si>
  <si>
    <t>Hotel Welcome, Janakpur</t>
  </si>
  <si>
    <t>Shiv chowk, Janakpur 45600</t>
  </si>
  <si>
    <t>https://www.google.com/maps/search/?api=1&amp;query=Hotel%20Welcome%2C%20Janakpur%2C%20Shiv%20chowk%2C%20Janakpur%2045600</t>
  </si>
  <si>
    <t>EVNP-0298</t>
  </si>
  <si>
    <t>EVNP-0298-P1</t>
  </si>
  <si>
    <t>Hotel Batika</t>
  </si>
  <si>
    <t>Dhangadhimai Nagarpalika-1, Lahan 56500</t>
  </si>
  <si>
    <t>https://www.google.com/maps/search/?api=1&amp;query=Hotel%20Batika%2C%20Dhangadhimai%20Nagarpalika-1%2C%20Lahan%2056500</t>
  </si>
  <si>
    <t>EVNP-0299</t>
  </si>
  <si>
    <t>EVNP-0299-P1</t>
  </si>
  <si>
    <t>Girija Automobile Pvt. Ltd</t>
  </si>
  <si>
    <t>https://www.google.com/maps/search/?api=1&amp;query=Girija%20Automobile%20Pvt.%20Ltd%2C%20Lahan</t>
  </si>
  <si>
    <t>EVNP-0300</t>
  </si>
  <si>
    <t>EVNP-0300-P1</t>
  </si>
  <si>
    <t>Lalgadh Fast Charging Center</t>
  </si>
  <si>
    <t>H01, Mithila 45600</t>
  </si>
  <si>
    <t>https://www.google.com/maps/search/?api=1&amp;query=Lalgadh%20Fast%20Charging%20Center%2C%20H01%2C%20Mithila%2045600</t>
  </si>
  <si>
    <t>EVNP-0301</t>
  </si>
  <si>
    <t>EVNP-0301-P1</t>
  </si>
  <si>
    <t>Komal Hotel</t>
  </si>
  <si>
    <t>E W, Mahendra Hwy, Mithila 45600</t>
  </si>
  <si>
    <t>https://www.google.com/maps/search/?api=1&amp;query=Komal%20Hotel%2C%20E%20W%2C%20Mahendra%20Hwy%2C%20Mithila%2045600</t>
  </si>
  <si>
    <t>EVNP-0302</t>
  </si>
  <si>
    <t>EVNP-0302-P1</t>
  </si>
  <si>
    <t>Hotel Suvidha</t>
  </si>
  <si>
    <t>RH76+CR4, Attariya 10900</t>
  </si>
  <si>
    <t>https://www.google.com/maps/search/?api=1&amp;query=Hotel%20Suvidha%2C%20RH76%2BCR4%2C%20Attariya%2010900</t>
  </si>
  <si>
    <t>EVNP-0303</t>
  </si>
  <si>
    <t>EVNP-0303-P1</t>
  </si>
  <si>
    <t>Look Hotel and Lodge</t>
  </si>
  <si>
    <t>J7VJ+3G2 karnali chisapani, Lamki Chuha 21800</t>
  </si>
  <si>
    <t>https://www.google.com/maps/search/?api=1&amp;query=Look%20Hotel%20and%20Lodge%2C%20J7VJ%2B3G2%20karnali%20chisapani%2C%20Lamki%20Chuha%2021800</t>
  </si>
  <si>
    <t>EVNP-0304</t>
  </si>
  <si>
    <t>EVNP-0304-P1</t>
  </si>
  <si>
    <t>Navadurga Technology</t>
  </si>
  <si>
    <t>Attariya 10900</t>
  </si>
  <si>
    <t>https://www.google.com/maps/search/?api=1&amp;query=Navadurga%20Technology%2C%20Attariya%2010900</t>
  </si>
  <si>
    <t>EVNP-0305</t>
  </si>
  <si>
    <t>EVNP-0305-P1</t>
  </si>
  <si>
    <t>Hotel Sunlight Pvt.Ltd</t>
  </si>
  <si>
    <t>PH3P+V4Q, Main Road, Dhangadhi 10900</t>
  </si>
  <si>
    <t>https://www.google.com/maps/search/?api=1&amp;query=Hotel%20Sunlight%20Pvt.Ltd%2C%20PH3P%2BV4Q%2C%20Main%20Road%2C%20Dhangadhi%2010900</t>
  </si>
  <si>
    <t>EVNP-0306</t>
  </si>
  <si>
    <t>EVNP-0306-P1</t>
  </si>
  <si>
    <t>Laxmi Dinesh 4 Wheelers</t>
  </si>
  <si>
    <t>Main Road, Dhangadhi</t>
  </si>
  <si>
    <t>https://www.google.com/maps/search/?api=1&amp;query=Laxmi%20Dinesh%204%20Wheelers%2C%20Main%20Road%2C%20Dhangadhi</t>
  </si>
  <si>
    <t>EVNP-0307</t>
  </si>
  <si>
    <t>EVNP-0307-P1</t>
  </si>
  <si>
    <t>Hotel Jalsa</t>
  </si>
  <si>
    <t>PH3F+VXG, Dhangadhi 10900</t>
  </si>
  <si>
    <t>https://www.google.com/maps/search/?api=1&amp;query=Hotel%20Jalsa%2C%20PH3F%2BVXG%2C%20Dhangadhi%2010900</t>
  </si>
  <si>
    <t>EVNP-0308</t>
  </si>
  <si>
    <t>EVNP-0308-P1</t>
  </si>
  <si>
    <t>Chetan Hotel</t>
  </si>
  <si>
    <t>Bhimdatta</t>
  </si>
  <si>
    <t>https://www.google.com/maps/search/?api=1&amp;query=Chetan%20Hotel%2C%20Bhimdatta</t>
  </si>
  <si>
    <t>EVNP-0309</t>
  </si>
  <si>
    <t>EVNP-0309-P1</t>
  </si>
  <si>
    <t>Hotel Navaratna (TATA Fast AC)</t>
  </si>
  <si>
    <t>Darakh-5 Sukhad Kailali, Mahendra Hwy, 10900</t>
  </si>
  <si>
    <t>https://www.google.com/maps/search/?api=1&amp;query=Hotel%20Navaratna%20%28TATA%20Fast%20AC%29%2C%20Darakh-5%20Sukhad%20Kailali%2C%20Mahendra%20Hwy%2C%2010900</t>
  </si>
  <si>
    <t>EVNP-0310</t>
  </si>
  <si>
    <t>EVNP-0310-P1</t>
  </si>
  <si>
    <t>Sharma hotel and lodge (TATA Fast AC)</t>
  </si>
  <si>
    <t>Babai, Surkhet</t>
  </si>
  <si>
    <t>Babai</t>
  </si>
  <si>
    <t>https://www.google.com/maps/search/?api=1&amp;query=Sharma%20hotel%20and%20lodge%20%28TATA%20Fast%20AC%29%2C%20Babai%2C%20Surkhet</t>
  </si>
  <si>
    <t>EVNP-0311</t>
  </si>
  <si>
    <t>EVNP-0311-P1</t>
  </si>
  <si>
    <t>Belaka Rivers Beach Resort</t>
  </si>
  <si>
    <t>Sombare, 56300</t>
  </si>
  <si>
    <t>https://www.google.com/maps/search/?api=1&amp;query=Belaka%20Rivers%20Beach%20Resort%2C%20Sombare%2C%2056300</t>
  </si>
  <si>
    <t>EVNP-0312</t>
  </si>
  <si>
    <t>EVNP-0312-P1</t>
  </si>
  <si>
    <t>Adhikari Hotel and Lodge (TATA Fast AC)</t>
  </si>
  <si>
    <t>RV3H+RW7, Beltar Basaha 56300</t>
  </si>
  <si>
    <t>https://www.google.com/maps/search/?api=1&amp;query=Adhikari%20Hotel%20and%20Lodge%20%28TATA%20Fast%20AC%29%2C%20RV3H%2BRW7%2C%20Beltar%20Basaha%2056300</t>
  </si>
  <si>
    <t>EVNP-0313</t>
  </si>
  <si>
    <t>EVNP-0313-P1</t>
  </si>
  <si>
    <t>Goel Auto Pvt Ltd</t>
  </si>
  <si>
    <t>Airport Rd Chowk, Biratnagar 56613</t>
  </si>
  <si>
    <t>https://www.google.com/maps/search/?api=1&amp;query=Goel%20Auto%20Pvt%20Ltd%2C%20Airport%20Rd%20Chowk%2C%20Biratnagar%2056613</t>
  </si>
  <si>
    <t>EVNP-0314</t>
  </si>
  <si>
    <t>EVNP-0314-P1</t>
  </si>
  <si>
    <t>Great Wall Motor Biratnagar</t>
  </si>
  <si>
    <t>Bargachhi Chock, Biratnagar</t>
  </si>
  <si>
    <t>https://www.google.com/maps/search/?api=1&amp;query=Great%20Wall%20Motor%20Biratnagar%2C%20Bargachhi%20Chock%2C%20Biratnagar</t>
  </si>
  <si>
    <t>EVNP-0315</t>
  </si>
  <si>
    <t>EVNP-0315-P1</t>
  </si>
  <si>
    <t>Makalu Television</t>
  </si>
  <si>
    <t>F73G+2HM, H08, Biratnagar 56613</t>
  </si>
  <si>
    <t>https://www.google.com/maps/search/?api=1&amp;query=Makalu%20Television%2C%20F73G%2B2HM%2C%20H08%2C%20Biratnagar%2056613</t>
  </si>
  <si>
    <t>EVNP-0316</t>
  </si>
  <si>
    <t>EVNP-0316-P1</t>
  </si>
  <si>
    <t>MOWSIE CCS Charger, Biratnagar</t>
  </si>
  <si>
    <t>F77P+J47, Biratnagar 56613</t>
  </si>
  <si>
    <t>https://www.google.com/maps/search/?api=1&amp;query=MOWSIE%20CCS%20Charger%2C%20Biratnagar%2C%20F77P%2BJ47%2C%20Biratnagar%2056613</t>
  </si>
  <si>
    <t>EVNP-0317</t>
  </si>
  <si>
    <t>EVNP-0317-P1</t>
  </si>
  <si>
    <t>Superior Service Center &amp; Charging Station</t>
  </si>
  <si>
    <t>H08 Airport Chowk, Biratnagar 56613</t>
  </si>
  <si>
    <t>https://www.google.com/maps/search/?api=1&amp;query=Superior%20Service%20Center%20%26%20Charging%20Station%2C%20H08%20Airport%20Chowk%2C%20Biratnagar%2056613</t>
  </si>
  <si>
    <t>EVNP-0318</t>
  </si>
  <si>
    <t>EVNP-0318-P1</t>
  </si>
  <si>
    <t>Hotel The Kingsbury</t>
  </si>
  <si>
    <t>E - W Hwy, Birtamode 57204</t>
  </si>
  <si>
    <t>https://www.google.com/maps/search/?api=1&amp;query=Hotel%20The%20Kingsbury%2C%20E%20-%20W%20Hwy%2C%20Birtamode%2057204</t>
  </si>
  <si>
    <t>EVNP-0319</t>
  </si>
  <si>
    <t>EVNP-0319-P1</t>
  </si>
  <si>
    <t>Dealership Birtamode</t>
  </si>
  <si>
    <t>E W, E - W Hwy, Birtamode 57204</t>
  </si>
  <si>
    <t>https://www.google.com/maps/search/?api=1&amp;query=Dealership%20Birtamode%2C%20E%20W%2C%20E%20-%20W%20Hwy%2C%20Birtamode%2057204</t>
  </si>
  <si>
    <t>EVNP-0320</t>
  </si>
  <si>
    <t>EVNP-0320-P1</t>
  </si>
  <si>
    <t>Mahalaxmi International</t>
  </si>
  <si>
    <t>https://www.google.com/maps/search/?api=1&amp;query=Mahalaxmi%20International%2C%20E%20-%20W%20Hwy%2C%20Birtamode%2057204</t>
  </si>
  <si>
    <t>EVNP-0321</t>
  </si>
  <si>
    <t>EVNP-0321-P1</t>
  </si>
  <si>
    <t>Naivedya - A Family Restaurant</t>
  </si>
  <si>
    <t>Ganapati Rd, Birtamode 57204</t>
  </si>
  <si>
    <t>https://www.google.com/maps/search/?api=1&amp;query=Naivedya%20-%20A%20Family%20Restaurant%2C%20Ganapati%20Rd%2C%20Birtamode%2057204</t>
  </si>
  <si>
    <t>EVNP-0322</t>
  </si>
  <si>
    <t>EVNP-0322-P1</t>
  </si>
  <si>
    <t>Alaska Automobiles Pvt. Ltd.</t>
  </si>
  <si>
    <t>JXWV+X4W, Sanischare Rd, Birtamode 57204</t>
  </si>
  <si>
    <t>https://www.google.com/maps/search/?api=1&amp;query=Alaska%20Automobiles%20Pvt.%20Ltd.%2C%20JXWV%2BX4W%2C%20Sanischare%20Rd%2C%20Birtamode%2057204</t>
  </si>
  <si>
    <t>EVNP-0323</t>
  </si>
  <si>
    <t>EVNP-0323-P1</t>
  </si>
  <si>
    <t>Oliz Store Birtamode</t>
  </si>
  <si>
    <t>Sanischare Rd, Birtamode 57204</t>
  </si>
  <si>
    <t>https://www.google.com/maps/search/?api=1&amp;query=Oliz%20Store%20Birtamode%2C%20Sanischare%20Rd%2C%20Birtamode%2057204</t>
  </si>
  <si>
    <t>EVNP-0324</t>
  </si>
  <si>
    <t>EVNP-0324-P1</t>
  </si>
  <si>
    <t>Hotel Kanjirowa</t>
  </si>
  <si>
    <t>28F7+8JP, Pakhribas 56806</t>
  </si>
  <si>
    <t>https://www.google.com/maps/search/?api=1&amp;query=Hotel%20Kanjirowa%2C%2028F7%2B8JP%2C%20Pakhribas%2056806</t>
  </si>
  <si>
    <t>EVNP-0325</t>
  </si>
  <si>
    <t>EVNP-0325-P1</t>
  </si>
  <si>
    <t>Kewal Auto Service</t>
  </si>
  <si>
    <t>H08 Bargachi, Dharan 56700</t>
  </si>
  <si>
    <t>https://www.google.com/maps/search/?api=1&amp;query=Kewal%20Auto%20Service%2C%20H08%20Bargachi%2C%20Dharan%2056700</t>
  </si>
  <si>
    <t>EVNP-0326</t>
  </si>
  <si>
    <t>EVNP-0326-P1</t>
  </si>
  <si>
    <t>Hotel Arun Valley</t>
  </si>
  <si>
    <t>V85C+3J2, Bhedetar 56804</t>
  </si>
  <si>
    <t>https://www.google.com/maps/search/?api=1&amp;query=Hotel%20Arun%20Valley%2C%20V85C%2B3J2%2C%20Bhedetar%2056804</t>
  </si>
  <si>
    <t>EVNP-0327</t>
  </si>
  <si>
    <t>EVNP-0327-P1</t>
  </si>
  <si>
    <t>Panorama Hotel And Lodge</t>
  </si>
  <si>
    <t>Mechi Hwy 8, Suryodaya 57312</t>
  </si>
  <si>
    <t>https://www.google.com/maps/search/?api=1&amp;query=Panorama%20Hotel%20And%20Lodge%2C%20Mechi%20Hwy%208%2C%20Suryodaya%2057312</t>
  </si>
  <si>
    <t>EVNP-0328</t>
  </si>
  <si>
    <t>EVNP-0328-P1</t>
  </si>
  <si>
    <t>Hotel Town Hall (TATA Fast AC)</t>
  </si>
  <si>
    <t>QMPW+RPC, Gaighat 56300</t>
  </si>
  <si>
    <t>https://www.google.com/maps/search/?api=1&amp;query=Hotel%20Town%20Hall%20%28TATA%20Fast%20AC%29%2C%20QMPW%2BRPC%2C%20Gaighat%2056300</t>
  </si>
  <si>
    <t>EVNP-0329</t>
  </si>
  <si>
    <t>EVNP-0329-P1</t>
  </si>
  <si>
    <t>Nepalirika Hotel, Haraicha</t>
  </si>
  <si>
    <t>M97H+47G, Koshi Haraicha 56600</t>
  </si>
  <si>
    <t>https://www.google.com/maps/search/?api=1&amp;query=Nepalirika%20Hotel%2C%20Haraicha%2C%20M97H%2B47G%2C%20Koshi%20Haraicha%2056600</t>
  </si>
  <si>
    <t>EVNP-0330</t>
  </si>
  <si>
    <t>EVNP-0330-P1</t>
  </si>
  <si>
    <t>Hotel Green View</t>
  </si>
  <si>
    <t>Ilam-7, Nabin Chowk/Campus Road</t>
  </si>
  <si>
    <t>https://www.google.com/maps/search/?api=1&amp;query=Hotel%20Green%20View%2C%20Ilam-7%2C%20Nabin%20Chowk/Campus%20Road</t>
  </si>
  <si>
    <t>EVNP-0331</t>
  </si>
  <si>
    <t>EVNP-0331-P1</t>
  </si>
  <si>
    <t>Itahari -12 Khanar</t>
  </si>
  <si>
    <t>Koshi Rajmarg 12, Itahari 56705</t>
  </si>
  <si>
    <t>https://www.google.com/maps/search/?api=1&amp;query=Itahari%20-12%20Khanar%2C%20Koshi%20Rajmarg%2012%2C%20Itahari%2056705</t>
  </si>
  <si>
    <t>EVNP-0332</t>
  </si>
  <si>
    <t>EVNP-0332-P1</t>
  </si>
  <si>
    <t>MOWSIE CCS, Itahari</t>
  </si>
  <si>
    <t>Taltalaiya Rd, Itahari 56705</t>
  </si>
  <si>
    <t>https://www.google.com/maps/search/?api=1&amp;query=MOWSIE%20CCS%2C%20Itahari%2C%20Taltalaiya%20Rd%2C%20Itahari%2056705</t>
  </si>
  <si>
    <t>EVNP-0333</t>
  </si>
  <si>
    <t>EVNP-0333-P1</t>
  </si>
  <si>
    <t>Oliz Store Itahari | Apple Store | iPhone Store</t>
  </si>
  <si>
    <t>M79G+52F, H08 4, Itahari 56705</t>
  </si>
  <si>
    <t>https://www.google.com/maps/search/?api=1&amp;query=Oliz%20Store%20Itahari%20%7C%20Apple%20Store%20%7C%20iPhone%20Store%2C%20M79G%2B52F%2C%20H08%204%2C%20Itahari%2056705</t>
  </si>
  <si>
    <t>EVNP-0334</t>
  </si>
  <si>
    <t>EVNP-0334-P1</t>
  </si>
  <si>
    <t>Katari Ev Fast Charging Stations &amp; Hotel</t>
  </si>
  <si>
    <t>X8CV+85X, Dudhauli 45900</t>
  </si>
  <si>
    <t>https://www.google.com/maps/search/?api=1&amp;query=Katari%20Ev%20Fast%20Charging%20Stations%20%26%20Hotel%2C%20X8CV%2B85X%2C%20Dudhauli%2045900</t>
  </si>
  <si>
    <t>EVNP-0335</t>
  </si>
  <si>
    <t>EVNP-0335-P1</t>
  </si>
  <si>
    <t>Timsina Kharid Bikri Kendra</t>
  </si>
  <si>
    <t>Letang- 9 Jante, Morang, madan bhandari highway</t>
  </si>
  <si>
    <t>https://www.google.com/maps/search/?api=1&amp;query=Timsina%20Kharid%20Bikri%20Kendra%2C%20Letang-%209%20Jante%2C%20Morang%2C%20madan%20bhandari%20highway</t>
  </si>
  <si>
    <t>EVNP-0336</t>
  </si>
  <si>
    <t>EVNP-0336-P1</t>
  </si>
  <si>
    <t>Manaswi Hotel</t>
  </si>
  <si>
    <t>4QW8+4VV, LR6, Phidim 57400</t>
  </si>
  <si>
    <t>https://www.google.com/maps/search/?api=1&amp;query=Manaswi%20Hotel%2C%204QW8%2B4VV%2C%20LR6%2C%20Phidim%2057400</t>
  </si>
  <si>
    <t>EVNP-0337</t>
  </si>
  <si>
    <t>EVNP-0337-P1</t>
  </si>
  <si>
    <t>MOWSIE Charging Station CCS, Surunga</t>
  </si>
  <si>
    <t>Kankai</t>
  </si>
  <si>
    <t>https://www.google.com/maps/search/?api=1&amp;query=MOWSIE%20Charging%20Station%20CCS%2C%20Surunga%2C%20Kankai</t>
  </si>
  <si>
    <t>EVNP-0338</t>
  </si>
  <si>
    <t>EVNP-0338-P1</t>
  </si>
  <si>
    <t>Hotel Durbar, Supadeurali, Arghakhanchi</t>
  </si>
  <si>
    <t>Sitganga - 4, Bhedamare, Supadeurali</t>
  </si>
  <si>
    <t>https://www.google.com/maps/search/?api=1&amp;query=Hotel%20Durbar%2C%20Supadeurali%2C%20Arghakhanchi%2C%20Sitganga%20-%204%2C%20Bhedamare%2C%20Supadeurali</t>
  </si>
  <si>
    <t>EVNP-0339</t>
  </si>
  <si>
    <t>EVNP-0339-P1</t>
  </si>
  <si>
    <t>Bodhi Redsun-Shinee Premiere</t>
  </si>
  <si>
    <t>Basantapur 8, Siddharthanagar 32900</t>
  </si>
  <si>
    <t>https://www.google.com/maps/search/?api=1&amp;query=Bodhi%20Redsun-Shinee%20Premiere%2C%20Basantapur%208%2C%20Siddharthanagar%2032900</t>
  </si>
  <si>
    <t>EVNP-0340</t>
  </si>
  <si>
    <t>EVNP-0340-P1</t>
  </si>
  <si>
    <t>Everest Petrol Pump</t>
  </si>
  <si>
    <t>GFF4+W3Q, Siddharthanagar 32900</t>
  </si>
  <si>
    <t>https://www.google.com/maps/search/?api=1&amp;query=Everest%20Petrol%20Pump%2C%20GFF4%2BW3Q%2C%20Siddharthanagar%2032900</t>
  </si>
  <si>
    <t>EVNP-0341</t>
  </si>
  <si>
    <t>EVNP-0341-P1</t>
  </si>
  <si>
    <t>Hotel Nirvana by Luxury International</t>
  </si>
  <si>
    <t>Paklihawa Road, Siddharthanagar (Bhairahawa)</t>
  </si>
  <si>
    <t>https://www.google.com/maps/search/?api=1&amp;query=Hotel%20Nirvana%20by%20Luxury%20International%2C%20Paklihawa%20Road%2C%20Siddharthanagar%20%28Bhairahawa%29</t>
  </si>
  <si>
    <t>EVNP-0342</t>
  </si>
  <si>
    <t>EVNP-0342-P1</t>
  </si>
  <si>
    <t>Jagat Motors</t>
  </si>
  <si>
    <t>https://www.google.com/maps/search/?api=1&amp;query=Jagat%20Motors%2C%20Siddharthanagar%2C%20Bhairahawa</t>
  </si>
  <si>
    <t>EVNP-0343</t>
  </si>
  <si>
    <t>EVNP-0343-P1</t>
  </si>
  <si>
    <t>RQQ3+CMR, Lalmatiya 22404</t>
  </si>
  <si>
    <t>https://www.google.com/maps/search/?api=1&amp;query=Hotel%20Pauwa%2C%20Bhaluwang%2C%20RQQ3%2BCMR%2C%20Lalmatiya%2022404</t>
  </si>
  <si>
    <t>EVNP-0344</t>
  </si>
  <si>
    <t>EVNP-0344-P1</t>
  </si>
  <si>
    <t>Hotel Da Flamingo</t>
  </si>
  <si>
    <t>Butwal 32907</t>
  </si>
  <si>
    <t>https://www.google.com/maps/search/?api=1&amp;query=Hotel%20Da%20Flamingo%2C%20Butwal%2032907</t>
  </si>
  <si>
    <t>EVNP-0345</t>
  </si>
  <si>
    <t>EVNP-0345-P1</t>
  </si>
  <si>
    <t>Club Denovo</t>
  </si>
  <si>
    <t>Kalika Nagar 11, Butwal 32907</t>
  </si>
  <si>
    <t>https://www.google.com/maps/search/?api=1&amp;query=Club%20Denovo%2C%20Kalika%20Nagar%2011%2C%20Butwal%2032907</t>
  </si>
  <si>
    <t>EVNP-0346</t>
  </si>
  <si>
    <t>EVNP-0346-P1</t>
  </si>
  <si>
    <t>Indreni Multipurpose Cooperative Ltd</t>
  </si>
  <si>
    <t>MFPF+RJ5, Butwal 32907</t>
  </si>
  <si>
    <t>https://www.google.com/maps/search/?api=1&amp;query=Indreni%20Multipurpose%20Cooperative%20Ltd%2C%20MFPF%2BRJ5%2C%20Butwal%2032907</t>
  </si>
  <si>
    <t>EVNP-0347</t>
  </si>
  <si>
    <t>EVNP-0347-P1</t>
  </si>
  <si>
    <t>Ocean Auto AC Charger</t>
  </si>
  <si>
    <t>MFPG+4WH, Butwal 32907</t>
  </si>
  <si>
    <t>https://www.google.com/maps/search/?api=1&amp;query=Ocean%20Auto%20AC%20Charger%2C%20MFPG%2B4WH%2C%20Butwal%2032907</t>
  </si>
  <si>
    <t>EVNP-0348</t>
  </si>
  <si>
    <t>EVNP-0348-P1</t>
  </si>
  <si>
    <t>Dawanya Devi Oil &amp; Charging Station</t>
  </si>
  <si>
    <t>Dumkibas 33000</t>
  </si>
  <si>
    <t>https://www.google.com/maps/search/?api=1&amp;query=Dawanya%20Devi%20Oil%20%26%20Charging%20Station%2C%20Dumkibas%2033000</t>
  </si>
  <si>
    <t>EVNP-0349</t>
  </si>
  <si>
    <t>EVNP-0349-P1</t>
  </si>
  <si>
    <t>Majestic Hotel Pvt.Ltd</t>
  </si>
  <si>
    <t>Short root, Ghorahi 22400</t>
  </si>
  <si>
    <t>https://www.google.com/maps/search/?api=1&amp;query=Majestic%20Hotel%20Pvt.Ltd%2C%20Short%20root%2C%20Ghorahi%2022400</t>
  </si>
  <si>
    <t>EVNP-0350</t>
  </si>
  <si>
    <t>EVNP-0350-P1</t>
  </si>
  <si>
    <t>Himyagya business Pvt Ltd</t>
  </si>
  <si>
    <t>tulsipur highway, Ghorahi 14</t>
  </si>
  <si>
    <t>https://www.google.com/maps/search/?api=1&amp;query=Himyagya%20business%20Pvt%20Ltd%2C%20tulsipur%20highway%2C%20Ghorahi%2014</t>
  </si>
  <si>
    <t>EVNP-0351</t>
  </si>
  <si>
    <t>EVNP-0351-P1</t>
  </si>
  <si>
    <t>Hotel Central Plaza</t>
  </si>
  <si>
    <t>Dhangadi Way, Kiran Khola, Kohalpur 21904</t>
  </si>
  <si>
    <t>https://www.google.com/maps/search/?api=1&amp;query=Hotel%20Central%20Plaza%2C%20Dhangadi%20Way%2C%20Kiran%20Khola%2C%20Kohalpur%2021904</t>
  </si>
  <si>
    <t>EVNP-0352</t>
  </si>
  <si>
    <t>EVNP-0352-P1</t>
  </si>
  <si>
    <t>Hotel Delux Inn</t>
  </si>
  <si>
    <t>Lalmatiya 22404</t>
  </si>
  <si>
    <t>https://www.google.com/maps/search/?api=1&amp;query=Hotel%20Delux%20Inn%2C%20Lalmatiya%2022404</t>
  </si>
  <si>
    <t>EVNP-0353</t>
  </si>
  <si>
    <t>EVNP-0353-P1</t>
  </si>
  <si>
    <t>Buddha Maya Gardens Hotel</t>
  </si>
  <si>
    <t>Lumbini sanskritik, Lumbini 32900</t>
  </si>
  <si>
    <t>https://www.google.com/maps/search/?api=1&amp;query=Buddha%20Maya%20Gardens%20Hotel%2C%20Lumbini%20sanskritik%2C%20Lumbini%2032900</t>
  </si>
  <si>
    <t>EVNP-0354</t>
  </si>
  <si>
    <t>EVNP-0354-P1</t>
  </si>
  <si>
    <t>Siddhartha Lumbini Green Resort</t>
  </si>
  <si>
    <t>Shivaraj-2 Chandrauta</t>
  </si>
  <si>
    <t>https://www.google.com/maps/search/?api=1&amp;query=Siddhartha%20Lumbini%20Green%20Resort%2C%20Shivaraj-2%20Chandrauta</t>
  </si>
  <si>
    <t>EVNP-0355</t>
  </si>
  <si>
    <t>EVNP-0355-P1</t>
  </si>
  <si>
    <t>Rudrapriya Pvt Ltd</t>
  </si>
  <si>
    <t>3JCM+V26, Nepalgunj 21900</t>
  </si>
  <si>
    <t>https://www.google.com/maps/search/?api=1&amp;query=Rudrapriya%20Pvt%20Ltd%2C%203JCM%2BV26%2C%20Nepalgunj%2021900</t>
  </si>
  <si>
    <t>EVNP-0356</t>
  </si>
  <si>
    <t>EVNP-0356-P1</t>
  </si>
  <si>
    <t>Namaste Village Resort</t>
  </si>
  <si>
    <t>Ganapur, Nepalgunj 21900</t>
  </si>
  <si>
    <t>https://www.google.com/maps/search/?api=1&amp;query=Namaste%20Village%20Resort%2C%20Ganapur%2C%20Nepalgunj%2021900</t>
  </si>
  <si>
    <t>EVNP-0357</t>
  </si>
  <si>
    <t>EVNP-0357-P1</t>
  </si>
  <si>
    <t>Siddhartha Hotel</t>
  </si>
  <si>
    <t>Ratna Rajmarg, Nepalgunj</t>
  </si>
  <si>
    <t>https://www.google.com/maps/search/?api=1&amp;query=Siddhartha%20Hotel%2C%20Ratna%20Rajmarg%2C%20Nepalgunj</t>
  </si>
  <si>
    <t>EVNP-0358</t>
  </si>
  <si>
    <t>EVNP-0358-P1</t>
  </si>
  <si>
    <t>Bulbul Farm Retreat</t>
  </si>
  <si>
    <t>Bartung - Tansen Rd, Tansen 32500</t>
  </si>
  <si>
    <t>https://www.google.com/maps/search/?api=1&amp;query=Bulbul%20Farm%20Retreat%2C%20Bartung%20-%20Tansen%20Rd%2C%20Tansen%2032500</t>
  </si>
  <si>
    <t>EVNP-0359</t>
  </si>
  <si>
    <t>EVNP-0359-P1</t>
  </si>
  <si>
    <t>Banana &amp; Mushroom Restaurant</t>
  </si>
  <si>
    <t>H 10, Madanpokhara 32500</t>
  </si>
  <si>
    <t>https://www.google.com/maps/search/?api=1&amp;query=Banana%20%26%20Mushroom%20Restaurant%2C%20H%2010%2C%20Madanpokhara%2032500</t>
  </si>
  <si>
    <t>EVNP-0360</t>
  </si>
  <si>
    <t>EVNP-0360-P1</t>
  </si>
  <si>
    <t>Hotel Siddhartha Park Regency (TATA Fast AC)</t>
  </si>
  <si>
    <t>Sunwal-Parasi Road, Ramgram 33007</t>
  </si>
  <si>
    <t>https://www.google.com/maps/search/?api=1&amp;query=Hotel%20Siddhartha%20Park%20Regency%20%28TATA%20Fast%20AC%29%2C%20Sunwal-Parasi%20Road%2C%20Ramgram%2033007</t>
  </si>
  <si>
    <t>EVNP-0361</t>
  </si>
  <si>
    <t>EVNP-0361-P1</t>
  </si>
  <si>
    <t>Hotel Crown, Ridi</t>
  </si>
  <si>
    <t>WCPQ+84M, Ruru 32600</t>
  </si>
  <si>
    <t>https://www.google.com/maps/search/?api=1&amp;query=Hotel%20Crown%2C%20Ridi%2C%20WCPQ%2B84M%2C%20Ruru%2032600</t>
  </si>
  <si>
    <t>EVNP-0362</t>
  </si>
  <si>
    <t>EVNP-0362-P1</t>
  </si>
  <si>
    <t>Crown Restaurant &amp; Lodge</t>
  </si>
  <si>
    <t>X6C6+H9M, Mahendra Hwy, Satbariya 22400</t>
  </si>
  <si>
    <t>https://www.google.com/maps/search/?api=1&amp;query=Crown%20Restaurant%20%26%20Lodge%2C%20X6C6%2BH9M%2C%20Mahendra%20Hwy%2C%20Satbariya%2022400</t>
  </si>
  <si>
    <t>EVNP-0363</t>
  </si>
  <si>
    <t>EVNP-0363-P1</t>
  </si>
  <si>
    <t>London Bridge Hotel</t>
  </si>
  <si>
    <t>FFM2+J9P, Siddharthanagar</t>
  </si>
  <si>
    <t>https://www.google.com/maps/search/?api=1&amp;query=London%20Bridge%20Hotel%2C%20FFM2%2BJ9P%2C%20Siddharthanagar</t>
  </si>
  <si>
    <t>EVNP-0364</t>
  </si>
  <si>
    <t>EVNP-0364-P1</t>
  </si>
  <si>
    <t>GC5V+X34, Siddharthanagar 32900</t>
  </si>
  <si>
    <t>https://www.google.com/maps/search/?api=1&amp;query=Hotel%20Pauwa%2C%20Bhairahawa%2C%20GC5V%2BX34%2C%20Siddharthanagar%2032900</t>
  </si>
  <si>
    <t>EVNP-0365</t>
  </si>
  <si>
    <t>EVNP-0365-P1</t>
  </si>
  <si>
    <t>Babai Resort Pvt. Ltd</t>
  </si>
  <si>
    <t>National Park, Thakudwara 21800</t>
  </si>
  <si>
    <t>https://www.google.com/maps/search/?api=1&amp;query=Babai%20Resort%20Pvt.%20Ltd%2C%20National%20Park%2C%20Thakudwara%2021800</t>
  </si>
  <si>
    <t>EVNP-0366</t>
  </si>
  <si>
    <t>EVNP-0366-P1</t>
  </si>
  <si>
    <t>Metro Durbar</t>
  </si>
  <si>
    <t>opposite side of high court tulsipur 6</t>
  </si>
  <si>
    <t>https://www.google.com/maps/search/?api=1&amp;query=Metro%20Durbar%2C%20opposite%20side%20of%20high%20court%20tulsipur%206</t>
  </si>
  <si>
    <t>EVNP-0367</t>
  </si>
  <si>
    <t>EVNP-0367-P1</t>
  </si>
  <si>
    <t>Metro Hospitality Dang</t>
  </si>
  <si>
    <t>https://www.google.com/maps/search/?api=1&amp;query=Metro%20Hospitality%20Dang%2C%20Tulsipur%2C%20Dang</t>
  </si>
  <si>
    <t>EVNP-0368</t>
  </si>
  <si>
    <t>EVNP-0368-P1</t>
  </si>
  <si>
    <t>Hotel Western Palace</t>
  </si>
  <si>
    <t>Tulsipur 22412</t>
  </si>
  <si>
    <t>https://www.google.com/maps/search/?api=1&amp;query=Hotel%20Western%20Palace%2C%20Tulsipur%2022412</t>
  </si>
  <si>
    <t>EVNP-0369</t>
  </si>
  <si>
    <t>EVNP-0369-P1</t>
  </si>
  <si>
    <t>Hotel Royal Century</t>
  </si>
  <si>
    <t>Bharatpur Height, Bharatpur Muncipality, Chitwan</t>
  </si>
  <si>
    <t>https://www.google.com/maps/search/?api=1&amp;query=Hotel%20Royal%20Century%2C%20Bharatpur%20Height%2C%20Bharatpur%20Muncipality%2C%20Chitwan</t>
  </si>
  <si>
    <t>EVNP-0370</t>
  </si>
  <si>
    <t>EVNP-0370-P1</t>
  </si>
  <si>
    <t>Barahi Jungle Lodge</t>
  </si>
  <si>
    <t>H59W+RP Andrauli West, Narayani 97761</t>
  </si>
  <si>
    <t>https://www.google.com/maps/search/?api=1&amp;query=Barahi%20Jungle%20Lodge%2C%20H59W%2BRP%20Andrauli%20West%2C%20Narayani%2097761</t>
  </si>
  <si>
    <t>EVNP-0371</t>
  </si>
  <si>
    <t>EVNP-0371-P1</t>
  </si>
  <si>
    <t>Hakim Chowk, Bharatpur</t>
  </si>
  <si>
    <t>Hakim Chowk, Bharatpur 44207</t>
  </si>
  <si>
    <t>https://www.google.com/maps/search/?api=1&amp;query=Hakim%20Chowk%2C%20Bharatpur%2C%20Hakim%20Chowk%2C%20Bharatpur%2044207</t>
  </si>
  <si>
    <t>EVNP-0372</t>
  </si>
  <si>
    <t>EVNP-0372-P1</t>
  </si>
  <si>
    <t>Landmark Forest-Park</t>
  </si>
  <si>
    <t>Paryatan Margh, Chitwan National Park, Baghmara Road 44200, Ratnanagar</t>
  </si>
  <si>
    <t>https://www.google.com/maps/search/?api=1&amp;query=Landmark%20Forest-Park%2C%20Paryatan%20Margh%2C%20Chitwan%20National%20Park%2C%20Baghmara%20Road%2044200%2C%20Ratnanagar</t>
  </si>
  <si>
    <t>EVNP-0373</t>
  </si>
  <si>
    <t>EVNP-0373-P1</t>
  </si>
  <si>
    <t>Chitwan Forest Resort</t>
  </si>
  <si>
    <t>Sauraha, Bachhauli - 2, Chitwan National Park 32909</t>
  </si>
  <si>
    <t>Sauraha</t>
  </si>
  <si>
    <t>https://www.google.com/maps/search/?api=1&amp;query=Chitwan%20Forest%20Resort%2C%20Sauraha%2C%20Bachhauli%20-%202%2C%20Chitwan%20National%20Park%2032909</t>
  </si>
  <si>
    <t>EVNP-0374</t>
  </si>
  <si>
    <t>EVNP-0374-P1</t>
  </si>
  <si>
    <t>Meghauli Serai, A Taj Safari, Chitwan</t>
  </si>
  <si>
    <t>Ward no 1 Narayani Nager Palika Chitwan National Park, Meghauli 44207</t>
  </si>
  <si>
    <t>https://www.google.com/maps/search/?api=1&amp;query=Meghauli%20Serai%2C%20A%20Taj%20Safari%2C%20Chitwan%2C%20Ward%20no%201%20Narayani%20Nager%20Palika%20Chitwan%20National%20Park%2C%20Meghauli%2044207</t>
  </si>
  <si>
    <t>EVNP-0375</t>
  </si>
  <si>
    <t>EVNP-0375-P1</t>
  </si>
  <si>
    <t>Siddhartha Riverside Resort</t>
  </si>
  <si>
    <t>H04, Darechok</t>
  </si>
  <si>
    <t>https://www.google.com/maps/search/?api=1&amp;query=Siddhartha%20Riverside%20Resort%2C%20H04%2C%20Darechok</t>
  </si>
  <si>
    <t>EVNP-0376</t>
  </si>
  <si>
    <t>EVNP-0376-P1</t>
  </si>
  <si>
    <t>Hotel paradise &amp; Lodge</t>
  </si>
  <si>
    <t>Thaha 44100</t>
  </si>
  <si>
    <t>https://www.google.com/maps/search/?api=1&amp;query=Hotel%20paradise%20%26%20Lodge%2C%20Thaha%2044100</t>
  </si>
  <si>
    <t>EVNP-0377</t>
  </si>
  <si>
    <t>EVNP-0377-P1</t>
  </si>
  <si>
    <t>Baba Dham Traders Thee-Go</t>
  </si>
  <si>
    <t>Muktinath Pani Prashodhan, Prithvi Hwy, Darechok 44200</t>
  </si>
  <si>
    <t>https://www.google.com/maps/search/?api=1&amp;query=Baba%20Dham%20Traders%20Thee-Go%2C%20Muktinath%20Pani%20Prashodhan%2C%20Prithvi%20Hwy%2C%20Darechok%2044200</t>
  </si>
  <si>
    <t>EVNP-0378</t>
  </si>
  <si>
    <t>EVNP-0378-P1</t>
  </si>
  <si>
    <t>Riverside Spring Resort</t>
  </si>
  <si>
    <t>Darechok</t>
  </si>
  <si>
    <t>https://www.google.com/maps/search/?api=1&amp;query=Riverside%20Spring%20Resort%2C%20Darechok</t>
  </si>
  <si>
    <t>EVNP-0379</t>
  </si>
  <si>
    <t>EVNP-0379-P1</t>
  </si>
  <si>
    <t>Yak Brewing Company (Barahsinghe)</t>
  </si>
  <si>
    <t>VJHC+4G6, Prithvi Hwy, Darechok</t>
  </si>
  <si>
    <t>https://www.google.com/maps/search/?api=1&amp;query=Yak%20Brewing%20Company%20%28Barahsinghe%29%2C%20VJHC%2B4G6%2C%20Prithvi%20Hwy%2C%20Darechok</t>
  </si>
  <si>
    <t>EVNP-0380</t>
  </si>
  <si>
    <t>EVNP-0380-P1</t>
  </si>
  <si>
    <t>Indrayani EV Charging Station</t>
  </si>
  <si>
    <t>Belkhu mod (Naya Pul), Galchhi-4, Dhading</t>
  </si>
  <si>
    <t>https://www.google.com/maps/search/?api=1&amp;query=Indrayani%20EV%20Charging%20Station%2C%20Belkhu%20mod%20%28Naya%20Pul%29%2C%20Galchhi-4%2C%20Dhading</t>
  </si>
  <si>
    <t>EVNP-0381</t>
  </si>
  <si>
    <t>EVNP-0381-P1</t>
  </si>
  <si>
    <t>Hill Top Restaurant</t>
  </si>
  <si>
    <t>Golghar, Malekhu, Dhading</t>
  </si>
  <si>
    <t>https://www.google.com/maps/search/?api=1&amp;query=Hill%20Top%20Restaurant%2C%20Golghar%2C%20Malekhu%2C%20Dhading</t>
  </si>
  <si>
    <t>EVNP-0382</t>
  </si>
  <si>
    <t>EVNP-0382-P1</t>
  </si>
  <si>
    <t>Burger House and Crunchy Fried Chicken</t>
  </si>
  <si>
    <t>P4HP+WWV, Prithvi Hwy, Naubise</t>
  </si>
  <si>
    <t>https://www.google.com/maps/search/?api=1&amp;query=Burger%20House%20and%20Crunchy%20Fried%20Chicken%2C%20P4HP%2BWWV%2C%20Prithvi%20Hwy%2C%20Naubise</t>
  </si>
  <si>
    <t>EVNP-0383</t>
  </si>
  <si>
    <t>EVNP-0383-P1</t>
  </si>
  <si>
    <t>Hotel Himalayan Horizon</t>
  </si>
  <si>
    <t>Bansghari, Dhulikhel, Dhulikhel Nagarpalika 45200</t>
  </si>
  <si>
    <t>https://www.google.com/maps/search/?api=1&amp;query=Hotel%20Himalayan%20Horizon%2C%20Bansghari%2C%20Dhulikhel%2C%20Dhulikhel%20Nagarpalika%2045200</t>
  </si>
  <si>
    <t>EVNP-0384</t>
  </si>
  <si>
    <t>EVNP-0384-P1</t>
  </si>
  <si>
    <t>Kl Traders, Hetauda, TCN Road</t>
  </si>
  <si>
    <t>C2GH+QHP, Bypass Marg - 1, Hetauda 44107</t>
  </si>
  <si>
    <t>https://www.google.com/maps/search/?api=1&amp;query=Kl%20Traders%2C%20Hetauda%2C%20TCN%20Road%2C%20C2GH%2BQHP%2C%20Bypass%20Marg%20-%201%2C%20Hetauda%2044107</t>
  </si>
  <si>
    <t>EVNP-0385</t>
  </si>
  <si>
    <t>EVNP-0385-P1</t>
  </si>
  <si>
    <t>Avocado &amp; Orchid Resort</t>
  </si>
  <si>
    <t>Chaukitol -2, Tribhuvan Rajpath, Hetauda 44107</t>
  </si>
  <si>
    <t>https://www.google.com/maps/search/?api=1&amp;query=Avocado%20%26%20Orchid%20Resort%2C%20Chaukitol%20-2%2C%20Tribhuvan%20Rajpath%2C%20Hetauda%2044107</t>
  </si>
  <si>
    <t>EVNP-0386</t>
  </si>
  <si>
    <t>EVNP-0386-P1</t>
  </si>
  <si>
    <t>Api Hydropower Mechanical Ltd</t>
  </si>
  <si>
    <t>Kharanga, FVMF+VM, Manahari 44100</t>
  </si>
  <si>
    <t>https://www.google.com/maps/search/?api=1&amp;query=Api%20Hydropower%20Mechanical%20Ltd%2C%20Kharanga%2C%20FVMF%2BVM%2C%20Manahari%2044100</t>
  </si>
  <si>
    <t>EVNP-0387</t>
  </si>
  <si>
    <t>EVNP-0387-P1</t>
  </si>
  <si>
    <t>Hotel Lido Inn</t>
  </si>
  <si>
    <t>MainRoad 10, Hetauda 44107</t>
  </si>
  <si>
    <t>https://www.google.com/maps/search/?api=1&amp;query=Hotel%20Lido%20Inn%2C%20MainRoad%2010%2C%20Hetauda%2044107</t>
  </si>
  <si>
    <t>EVNP-0388</t>
  </si>
  <si>
    <t>EVNP-0388-P1</t>
  </si>
  <si>
    <t>Chhaya Devi Complex, Amrit Marg, Kathmandu 44600</t>
  </si>
  <si>
    <t>https://www.google.com/maps/search/?api=1&amp;query=Chhaya%20Center%2C%20Thamel%2C%20Chhaya%20Devi%20Complex%2C%20Amrit%20Marg%2C%20Kathmandu%2044600</t>
  </si>
  <si>
    <t>EVNP-0389</t>
  </si>
  <si>
    <t>EVNP-0389-P1</t>
  </si>
  <si>
    <t>Evert New Energy</t>
  </si>
  <si>
    <t>Dhumbarahi, opposite to HAMS Hospital</t>
  </si>
  <si>
    <t>https://www.google.com/maps/search/?api=1&amp;query=Evert%20New%20Energy%2C%20Dhumbarahi%2C%20opposite%20to%20HAMS%20Hospital</t>
  </si>
  <si>
    <t>EVNP-0390</t>
  </si>
  <si>
    <t>EVNP-0390-P1</t>
  </si>
  <si>
    <t>Hundai Service (L I Auto Service)</t>
  </si>
  <si>
    <t>Hundai service, kupondole</t>
  </si>
  <si>
    <t>https://www.google.com/maps/search/?api=1&amp;query=Hundai%20Service%20%28L%20I%20Auto%20Service%29%2C%20Hundai%20service%2C%20kupondole</t>
  </si>
  <si>
    <t>EVNP-0391</t>
  </si>
  <si>
    <t>EVNP-0391-P1</t>
  </si>
  <si>
    <t>Auto Care Pvt Ltd</t>
  </si>
  <si>
    <t>Kathmandu 44600</t>
  </si>
  <si>
    <t>https://www.google.com/maps/search/?api=1&amp;query=Auto%20Care%20Pvt%20Ltd%2C%20Kathmandu%2044600</t>
  </si>
  <si>
    <t>EVNP-0392</t>
  </si>
  <si>
    <t>EVNP-0392-P1</t>
  </si>
  <si>
    <t>Showroom, Narayanchaur</t>
  </si>
  <si>
    <t>https://www.google.com/maps/search/?api=1&amp;query=Showroom%2C%20Narayanchaur%2C%20Kathmandu%2044600</t>
  </si>
  <si>
    <t>EVNP-0393</t>
  </si>
  <si>
    <t>EVNP-0393-P1</t>
  </si>
  <si>
    <t>, Ministry of Finance</t>
  </si>
  <si>
    <t>M8XG+686, Kathmandu 44600</t>
  </si>
  <si>
    <t>https://www.google.com/maps/search/?api=1&amp;query=%2C%20Ministry%20of%20Finance%2C%20M8XG%2B686%2C%20Kathmandu%2044600</t>
  </si>
  <si>
    <t>EVNP-0394</t>
  </si>
  <si>
    <t>EVNP-0394-P1</t>
  </si>
  <si>
    <t>Service Centre</t>
  </si>
  <si>
    <t>Skoda</t>
  </si>
  <si>
    <t>P75M+G65, Kathmandu 44600</t>
  </si>
  <si>
    <t>https://www.google.com/maps/search/?api=1&amp;query=Service%20Centre%2C%20P75M%2BG65%2C%20Kathmandu%2044600</t>
  </si>
  <si>
    <t>EVNP-0395</t>
  </si>
  <si>
    <t>EVNP-0395-P1</t>
  </si>
  <si>
    <t>CCS Ratnapark</t>
  </si>
  <si>
    <t>P838+WHP, Durbar Marg, Kathmandu 44600</t>
  </si>
  <si>
    <t>https://www.google.com/maps/search/?api=1&amp;query=CCS%20Ratnapark%2C%20P838%2BWHP%2C%20Durbar%20Marg%2C%20Kathmandu%2044600</t>
  </si>
  <si>
    <t>EVNP-0396</t>
  </si>
  <si>
    <t>EVNP-0396-P1</t>
  </si>
  <si>
    <t>Pulchowk Gabahal Rd, Lalitpur</t>
  </si>
  <si>
    <t>https://www.google.com/maps/search/?api=1&amp;query=Labim%20Mall%2C%20Pulchowk%20Gabahal%20Rd%2C%20Lalitpur</t>
  </si>
  <si>
    <t>EVNP-0397</t>
  </si>
  <si>
    <t>EVNP-0397-P1</t>
  </si>
  <si>
    <t>Trade Tower Thapathali</t>
  </si>
  <si>
    <t>Thapathali, Kathmandu</t>
  </si>
  <si>
    <t>Thapathali</t>
  </si>
  <si>
    <t>https://www.google.com/maps/search/?api=1&amp;query=Trade%20Tower%20Thapathali%2C%20Thapathali%2C%20Kathmandu</t>
  </si>
  <si>
    <t>EVNP-0398</t>
  </si>
  <si>
    <t>EVNP-0398-P1</t>
  </si>
  <si>
    <t>Park</t>
  </si>
  <si>
    <t>Thirbam Road, BYD Park, Kathmandu</t>
  </si>
  <si>
    <t>https://www.google.com/maps/search/?api=1&amp;query=Park%2C%20Thirbam%20Road%2C%20BYD%20Park%2C%20Kathmandu</t>
  </si>
  <si>
    <t>EVNP-0399</t>
  </si>
  <si>
    <t>EVNP-0399-P1</t>
  </si>
  <si>
    <t>Thirbam Sadak, Kathmandu 44600</t>
  </si>
  <si>
    <t>https://www.google.com/maps/search/?api=1&amp;query=Yatri%20Motorcycles%20Experience%20Center%2C%20Thirbam%20Sadak%2C%20Kathmandu%2044600</t>
  </si>
  <si>
    <t>EVNP-0400</t>
  </si>
  <si>
    <t>EVNP-0400-P1</t>
  </si>
  <si>
    <t>Sitara Resort Pvt Ltd</t>
  </si>
  <si>
    <t>J4M5+MWC, Kawasoti 33000</t>
  </si>
  <si>
    <t>https://www.google.com/maps/search/?api=1&amp;query=Sitara%20Resort%20Pvt%20Ltd%2C%20J4M5%2BMWC%2C%20Kawasoti%2033000</t>
  </si>
  <si>
    <t>EVNP-0401</t>
  </si>
  <si>
    <t>EVNP-0401-P1</t>
  </si>
  <si>
    <t>Hotel Simkhola (TATA Fast AC)</t>
  </si>
  <si>
    <t>H5J4+FC4, Kulekhani 44100</t>
  </si>
  <si>
    <t>https://www.google.com/maps/search/?api=1&amp;query=Hotel%20Simkhola%20%28TATA%20Fast%20AC%29%2C%20H5J4%2BFC4%2C%20Kulekhani%2044100</t>
  </si>
  <si>
    <t>EVNP-0402</t>
  </si>
  <si>
    <t>EVNP-0402-P1</t>
  </si>
  <si>
    <t>Green Automobiles (DFSK EV Nepal), Ekantakuna</t>
  </si>
  <si>
    <t>Ekantakuna</t>
  </si>
  <si>
    <t>https://www.google.com/maps/search/?api=1&amp;query=Green%20Automobiles%20%28DFSK%20EV%20Nepal%29%2C%20Ekantakuna%2C%20Ekantakuna</t>
  </si>
  <si>
    <t>EVNP-0403</t>
  </si>
  <si>
    <t>EVNP-0403-P1</t>
  </si>
  <si>
    <t>Lalitpur, Eco Drive Automobiles Pvt Ltd</t>
  </si>
  <si>
    <t>Pulchowk Rd, Lalitpur 44600</t>
  </si>
  <si>
    <t>https://www.google.com/maps/search/?api=1&amp;query=Lalitpur%2C%20Eco%20Drive%20Automobiles%20Pvt%20Ltd%2C%20Pulchowk%20Rd%2C%20Lalitpur%2044600</t>
  </si>
  <si>
    <t>EVNP-0404</t>
  </si>
  <si>
    <t>EVNP-0404-P1</t>
  </si>
  <si>
    <t>Hotel Simkhola &amp; Lodge</t>
  </si>
  <si>
    <t>Kulekhani Dam</t>
  </si>
  <si>
    <t>https://www.google.com/maps/search/?api=1&amp;query=Hotel%20Simkhola%20%26%20Lodge%2C%20Kulekhani%20Dam</t>
  </si>
  <si>
    <t>EVNP-0405</t>
  </si>
  <si>
    <t>EVNP-0405-P1</t>
  </si>
  <si>
    <t>The highway coffee shot</t>
  </si>
  <si>
    <t>Benighat 45100</t>
  </si>
  <si>
    <t>https://www.google.com/maps/search/?api=1&amp;query=The%20highway%20coffee%20shot%2C%20Benighat%2045100</t>
  </si>
  <si>
    <t>EVNP-0406</t>
  </si>
  <si>
    <t>EVNP-0406-P1</t>
  </si>
  <si>
    <t>Kwality Beach Resort, Mulkot</t>
  </si>
  <si>
    <t>B.P Highway, Mulkot</t>
  </si>
  <si>
    <t>https://www.google.com/maps/search/?api=1&amp;query=Kwality%20Beach%20Resort%2C%20Mulkot%2C%20B.P%20Highway%2C%20Mulkot</t>
  </si>
  <si>
    <t>EVNP-0407</t>
  </si>
  <si>
    <t>EVNP-0407-P1</t>
  </si>
  <si>
    <t>Akshit Resort and Rafting</t>
  </si>
  <si>
    <t>Mulkot Bazaar, Purano Jhangajholi 45400</t>
  </si>
  <si>
    <t>https://www.google.com/maps/search/?api=1&amp;query=Akshit%20Resort%20and%20Rafting%2C%20Mulkot%20Bazaar%2C%20Purano%20Jhangajholi%2045400</t>
  </si>
  <si>
    <t>EVNP-0408</t>
  </si>
  <si>
    <t>EVNP-0408-P1</t>
  </si>
  <si>
    <t>Taj Riverside Resort</t>
  </si>
  <si>
    <t>Sunkoshi Rural Municipality Mulkot-5, B.P Highway</t>
  </si>
  <si>
    <t>https://www.google.com/maps/search/?api=1&amp;query=Taj%20Riverside%20Resort%2C%20Sunkoshi%20Rural%20Municipality%20Mulkot-5%2C%20B.P%20Highway</t>
  </si>
  <si>
    <t>EVNP-0409</t>
  </si>
  <si>
    <t>EVNP-0409-P1</t>
  </si>
  <si>
    <t>Dataram Charging Station</t>
  </si>
  <si>
    <t>Likhu-5, Thansing, Nuwakot</t>
  </si>
  <si>
    <t>https://www.google.com/maps/search/?api=1&amp;query=Dataram%20Charging%20Station%2C%20Likhu-5%2C%20Thansing%2C%20Nuwakot</t>
  </si>
  <si>
    <t>EVNP-0410</t>
  </si>
  <si>
    <t>EVNP-0410-P1</t>
  </si>
  <si>
    <t>Jungle Safari Lodge (TATA Fast AC)</t>
  </si>
  <si>
    <t>HFHV+9Q3, 113, Ratnanagar 44200</t>
  </si>
  <si>
    <t>https://www.google.com/maps/search/?api=1&amp;query=Jungle%20Safari%20Lodge%20%28TATA%20Fast%20AC%29%2C%20HFHV%2B9Q3%2C%20113%2C%20Ratnanagar%2044200</t>
  </si>
  <si>
    <t>EVNP-0411</t>
  </si>
  <si>
    <t>EVNP-0411-P1</t>
  </si>
  <si>
    <t>Hotel Earth Light</t>
  </si>
  <si>
    <t>HFQR+G78, Ratnanagar 44200</t>
  </si>
  <si>
    <t>https://www.google.com/maps/search/?api=1&amp;query=Hotel%20Earth%20Light%2C%20HFQR%2BG78%2C%20Ratnanagar%2044200</t>
  </si>
  <si>
    <t>EVNP-0412</t>
  </si>
  <si>
    <t>EVNP-0412-P1</t>
  </si>
  <si>
    <t>Ganapati Hotel &amp; Resort</t>
  </si>
  <si>
    <t>6WJ7+M6P, B.P. Highway, Kamalamai 45900</t>
  </si>
  <si>
    <t>https://www.google.com/maps/search/?api=1&amp;query=Ganapati%20Hotel%20%26%20Resort%2C%206WJ7%2BM6P%2C%20B.P.%20Highway%2C%20Kamalamai%2045900</t>
  </si>
  <si>
    <t>EVNP-0413</t>
  </si>
  <si>
    <t>EVNP-0413-P1</t>
  </si>
  <si>
    <t>Neha Oil Stores Pvt Ltd</t>
  </si>
  <si>
    <t>B.P. Highway, Kamalamai 45900</t>
  </si>
  <si>
    <t>https://www.google.com/maps/search/?api=1&amp;query=Neha%20Oil%20Stores%20Pvt%20Ltd%2C%20B.P.%20Highway%2C%20Kamalamai%2045900</t>
  </si>
  <si>
    <t>EVNP-0414</t>
  </si>
  <si>
    <t>EVNP-0414-P1</t>
  </si>
  <si>
    <t>Chiyabari Charging Station</t>
  </si>
  <si>
    <t>Chiyabari-02, Bhadrakali 45900</t>
  </si>
  <si>
    <t>https://www.google.com/maps/search/?api=1&amp;query=Chiyabari%20Charging%20Station%2C%20Chiyabari-02%2C%20Bhadrakali%2045900</t>
  </si>
  <si>
    <t>EVNP-0415</t>
  </si>
  <si>
    <t>EVNP-0415-P1</t>
  </si>
  <si>
    <t>Sangam Shree Oil, Sindhuli</t>
  </si>
  <si>
    <t>CV7C+522, Jhangajholi Ratamata 45900</t>
  </si>
  <si>
    <t>https://www.google.com/maps/search/?api=1&amp;query=Sangam%20Shree%20Oil%2C%20Sindhuli%2C%20CV7C%2B522%2C%20Jhangajholi%20Ratamata%2045900</t>
  </si>
  <si>
    <t>EVNP-0416</t>
  </si>
  <si>
    <t>EVNP-0416-P1</t>
  </si>
  <si>
    <t>Lekali Charging Center Pvt. Ltd</t>
  </si>
  <si>
    <t>Golanjor-5, Ratanchura 45900</t>
  </si>
  <si>
    <t>https://www.google.com/maps/search/?api=1&amp;query=Lekali%20Charging%20Center%20Pvt.%20Ltd%2C%20Golanjor-5%2C%20Ratanchura%2045900</t>
  </si>
  <si>
    <t>EVNP-0417</t>
  </si>
  <si>
    <t>EVNP-0417-P1</t>
  </si>
  <si>
    <t>Siddhababa Charging Station</t>
  </si>
  <si>
    <t>Kamalamai 45900</t>
  </si>
  <si>
    <t>https://www.google.com/maps/search/?api=1&amp;query=Siddhababa%20Charging%20Station%2C%20Kamalamai%2045900</t>
  </si>
  <si>
    <t>EVNP-0418</t>
  </si>
  <si>
    <t>EVNP-0418-P1</t>
  </si>
  <si>
    <t>Sukute River View Hotel</t>
  </si>
  <si>
    <t>Chautara, Sangha Chowk</t>
  </si>
  <si>
    <t>https://www.google.com/maps/search/?api=1&amp;query=Sukute%20River%20View%20Hotel%2C%20Chautara%2C%20Sangha%20Chowk</t>
  </si>
  <si>
    <t>EVNP-0419</t>
  </si>
  <si>
    <t>EVNP-0419-P1</t>
  </si>
  <si>
    <t>Sandy Beach Resort (TATA Fast AC)</t>
  </si>
  <si>
    <t>MQX3+GFC, Bus Stand, Araniko Highway, Sangachok 45314</t>
  </si>
  <si>
    <t>https://www.google.com/maps/search/?api=1&amp;query=Sandy%20Beach%20Resort%20%28TATA%20Fast%20AC%29%2C%20MQX3%2BGFC%2C%20Bus%20Stand%2C%20Araniko%20Highway%2C%20Sangachok%2045314</t>
  </si>
  <si>
    <t>EVNP-0420</t>
  </si>
  <si>
    <t>EVNP-0420-P1</t>
  </si>
  <si>
    <t>Sahara Resort</t>
  </si>
  <si>
    <t>J3CP+92J, Tribhuvan Highway, Thaha 44100</t>
  </si>
  <si>
    <t>https://www.google.com/maps/search/?api=1&amp;query=Sahara%20Resort%2C%20J3CP%2B92J%2C%20Tribhuvan%20Highway%2C%20Thaha%2044100</t>
  </si>
  <si>
    <t>EVNP-0421</t>
  </si>
  <si>
    <t>EVNP-0421-P1</t>
  </si>
  <si>
    <t>Royals Home Resort</t>
  </si>
  <si>
    <t>WG6H+93, Aanbu Khaireni</t>
  </si>
  <si>
    <t>https://www.google.com/maps/search/?api=1&amp;query=Royals%20Home%20Resort%2C%20WG6H%2B93%2C%20Aanbu%20Khaireni</t>
  </si>
  <si>
    <t>EVNP-0422</t>
  </si>
  <si>
    <t>EVNP-0422-P1</t>
  </si>
  <si>
    <t>Lasakusa Cafe &amp; Resturant</t>
  </si>
  <si>
    <t>Hallan Chowk, Baglung 33300</t>
  </si>
  <si>
    <t>https://www.google.com/maps/search/?api=1&amp;query=Lasakusa%20Cafe%20%26%20Resturant%2C%20Hallan%20Chowk%2C%20Baglung%2033300</t>
  </si>
  <si>
    <t>EVNP-0423</t>
  </si>
  <si>
    <t>EVNP-0423-P1</t>
  </si>
  <si>
    <t>Bandipur Charging Station and Refresh Station</t>
  </si>
  <si>
    <t>XC76+42V, Dumre - Besishahar-Chame Highway, Bhanu 33914</t>
  </si>
  <si>
    <t>https://www.google.com/maps/search/?api=1&amp;query=Bandipur%20Charging%20Station%20and%20Refresh%20Station%2C%20XC76%2B42V%2C%20Dumre%20-%20Besishahar-Chame%20Highway%2C%20Bhanu%2033914</t>
  </si>
  <si>
    <t>EVNP-0424</t>
  </si>
  <si>
    <t>EVNP-0424-P1</t>
  </si>
  <si>
    <t>Gateway Himalaya Resort</t>
  </si>
  <si>
    <t>Dumre-Beshisahar-Chame Hwy, Besisahar 33600</t>
  </si>
  <si>
    <t>https://www.google.com/maps/search/?api=1&amp;query=Gateway%20Himalaya%20Resort%2C%20Dumre-Beshisahar-Chame%20Hwy%2C%20Besisahar%2033600</t>
  </si>
  <si>
    <t>EVNP-0425</t>
  </si>
  <si>
    <t>EVNP-0425-P1</t>
  </si>
  <si>
    <t>Hotel Mustang Plaza</t>
  </si>
  <si>
    <t>Dumre, 04, Bandipur</t>
  </si>
  <si>
    <t>https://www.google.com/maps/search/?api=1&amp;query=Hotel%20Mustang%20Plaza%2C%20Dumre%2C%2004%2C%20Bandipur</t>
  </si>
  <si>
    <t>EVNP-0426</t>
  </si>
  <si>
    <t>EVNP-0426-P1</t>
  </si>
  <si>
    <t>Kuber Oil Services, KOS, Coffee &amp; Restaurant</t>
  </si>
  <si>
    <t>Thumka - Korikha - Bahunbhanjyan Rd, Bandipur 33914</t>
  </si>
  <si>
    <t>https://www.google.com/maps/search/?api=1&amp;query=Kuber%20Oil%20Services%2C%20KOS%2C%20Coffee%20%26%20Restaurant%2C%20Thumka%20-%20Korikha%20-%20Bahunbhanjyan%20Rd%2C%20Bandipur%2033914</t>
  </si>
  <si>
    <t>EVNP-0427</t>
  </si>
  <si>
    <t>EVNP-0427-P1</t>
  </si>
  <si>
    <t>Gurkha Inn Village Hotel Pvt. Ltd</t>
  </si>
  <si>
    <t>Abukhaireni-Gorkha Hwy, Gorkha Bazar 34000</t>
  </si>
  <si>
    <t>Gorkha</t>
  </si>
  <si>
    <t>https://www.google.com/maps/search/?api=1&amp;query=Gurkha%20Inn%20Village%20Hotel%20Pvt.%20Ltd%2C%20Abukhaireni-Gorkha%20Hwy%2C%20Gorkha%20Bazar%2034000</t>
  </si>
  <si>
    <t>EVNP-0428</t>
  </si>
  <si>
    <t>EVNP-0428-P1</t>
  </si>
  <si>
    <t>Gokarna Forest Resort</t>
  </si>
  <si>
    <t>Nagpokhari Marg 390, Gokarneshwor 44600</t>
  </si>
  <si>
    <t>https://www.google.com/maps/search/?api=1&amp;query=Gokarna%20Forest%20Resort%2C%20Nagpokhari%20Marg%20390%2C%20Gokarneshwor%2044600</t>
  </si>
  <si>
    <t>EVNP-0429</t>
  </si>
  <si>
    <t>EVNP-0429-P1</t>
  </si>
  <si>
    <t>Khareha Om Park, Kushma, Parvat</t>
  </si>
  <si>
    <t>6MFV+254, Kushma 33400</t>
  </si>
  <si>
    <t>https://www.google.com/maps/search/?api=1&amp;query=Khareha%20Om%20Park%2C%20Kushma%2C%20Parvat%2C%206MFV%2B254%2C%20Kushma%2033400</t>
  </si>
  <si>
    <t>EVNP-0430</t>
  </si>
  <si>
    <t>EVNP-0430-P1</t>
  </si>
  <si>
    <t>Temple Tree Resort &amp; Spa</t>
  </si>
  <si>
    <t>6th Street, Gaurighat, Lakeside Rd, Pokhara 33700</t>
  </si>
  <si>
    <t>https://www.google.com/maps/search/?api=1&amp;query=Temple%20Tree%20Resort%20%26%20Spa%2C%206th%20Street%2C%20Gaurighat%2C%20Lakeside%20Rd%2C%20Pokhara%2033700</t>
  </si>
  <si>
    <t>EVNP-0431</t>
  </si>
  <si>
    <t>EVNP-0431-P1</t>
  </si>
  <si>
    <t>Nepal Electricity Authority, Pokhara</t>
  </si>
  <si>
    <t>6X39+HRP, Pokhara 33700</t>
  </si>
  <si>
    <t>https://www.google.com/maps/search/?api=1&amp;query=Nepal%20Electricity%20Authority%2C%20Pokhara%2C%206X39%2BHRP%2C%20Pokhara%2033700</t>
  </si>
  <si>
    <t>EVNP-0432</t>
  </si>
  <si>
    <t>EVNP-0432-P1</t>
  </si>
  <si>
    <t>Hotel Landmark, Pokhara</t>
  </si>
  <si>
    <t>https://www.google.com/maps/search/?api=1&amp;query=Hotel%20Landmark%2C%20Pokhara%2C%206X39%2BHRP%2C%20Pokhara%2033700</t>
  </si>
  <si>
    <t>EVNP-0433</t>
  </si>
  <si>
    <t>EVNP-0433-P1</t>
  </si>
  <si>
    <t>Hotel Pauwa Pokhara</t>
  </si>
  <si>
    <t>6X39+M7Q, Pokhara 33700</t>
  </si>
  <si>
    <t>https://www.google.com/maps/search/?api=1&amp;query=Hotel%20Pauwa%20Pokhara%2C%206X39%2BM7Q%2C%20Pokhara%2033700</t>
  </si>
  <si>
    <t>EVNP-0434</t>
  </si>
  <si>
    <t>EVNP-0434-P1</t>
  </si>
  <si>
    <t>Deep Motors pvt.ltd (TATA Fast AC)</t>
  </si>
  <si>
    <t>6X4V+JGV Buddhachowk, Birauta, Pokhara 33700</t>
  </si>
  <si>
    <t>https://www.google.com/maps/search/?api=1&amp;query=Deep%20Motors%20pvt.ltd%20%28TATA%20Fast%20AC%29%2C%206X4V%2BJGV%20Buddhachowk%2C%20Birauta%2C%20Pokhara%2033700</t>
  </si>
  <si>
    <t>EVNP-0435</t>
  </si>
  <si>
    <t>EVNP-0435-P1</t>
  </si>
  <si>
    <t>Hotel Four Seasons (TATA Fast AC)</t>
  </si>
  <si>
    <t>6X55+8QX, Lakeside Rd, Pokhara 33700</t>
  </si>
  <si>
    <t>https://www.google.com/maps/search/?api=1&amp;query=Hotel%20Four%20Seasons%20%28TATA%20Fast%20AC%29%2C%206X55%2B8QX%2C%20Lakeside%20Rd%2C%20Pokhara%2033700</t>
  </si>
  <si>
    <t>EVNP-0436</t>
  </si>
  <si>
    <t>EVNP-0436-P1</t>
  </si>
  <si>
    <t>Hotel Elegant</t>
  </si>
  <si>
    <t>6X56+2V8, Pokhara 33700</t>
  </si>
  <si>
    <t>https://www.google.com/maps/search/?api=1&amp;query=Hotel%20Elegant%2C%206X56%2B2V8%2C%20Pokhara%2033700</t>
  </si>
  <si>
    <t>EVNP-0437</t>
  </si>
  <si>
    <t>EVNP-0437-P1</t>
  </si>
  <si>
    <t>Majestic Lake Front Hotel &amp; Suites</t>
  </si>
  <si>
    <t>Baidam Rd, Pokhara 33700</t>
  </si>
  <si>
    <t>https://www.google.com/maps/search/?api=1&amp;query=Majestic%20Lake%20Front%20Hotel%20%26%20Suites%2C%20Baidam%20Rd%2C%20Pokhara%2033700</t>
  </si>
  <si>
    <t>EVNP-0438</t>
  </si>
  <si>
    <t>EVNP-0438-P1</t>
  </si>
  <si>
    <t>Hotel Crown Himalayas (TATA Fast AC)</t>
  </si>
  <si>
    <t>Baidam-6, gaurighat, Lakeside, Pokhara</t>
  </si>
  <si>
    <t>https://www.google.com/maps/search/?api=1&amp;query=Hotel%20Crown%20Himalayas%20%28TATA%20Fast%20AC%29%2C%20Baidam-6%2C%20gaurighat%2C%20Lakeside%2C%20Pokhara</t>
  </si>
  <si>
    <t>EVNP-0439</t>
  </si>
  <si>
    <t>EVNP-0439-P1</t>
  </si>
  <si>
    <t>Sansar trading Pokhara</t>
  </si>
  <si>
    <t>Chinedada Pokhara 14</t>
  </si>
  <si>
    <t>https://www.google.com/maps/search/?api=1&amp;query=Sansar%20trading%20Pokhara%2C%20Chinedada%20Pokhara%2014</t>
  </si>
  <si>
    <t>EVNP-0440</t>
  </si>
  <si>
    <t>EVNP-0440-P1</t>
  </si>
  <si>
    <t>Atithi Resort &amp; SPA Pvt. Ltd (TATA Fast AC)</t>
  </si>
  <si>
    <t>Durbar Marg, Pokhara 33700</t>
  </si>
  <si>
    <t>https://www.google.com/maps/search/?api=1&amp;query=Atithi%20Resort%20%26%20SPA%20Pvt.%20Ltd%20%28TATA%20Fast%20AC%29%2C%20Durbar%20Marg%2C%20Pokhara%2033700</t>
  </si>
  <si>
    <t>EVNP-0441</t>
  </si>
  <si>
    <t>EVNP-0441-P1</t>
  </si>
  <si>
    <t>Hotel Barahi</t>
  </si>
  <si>
    <t>Lakeside Rd 6</t>
  </si>
  <si>
    <t>https://www.google.com/maps/search/?api=1&amp;query=Hotel%20Barahi%2C%20Lakeside%20Rd%206</t>
  </si>
  <si>
    <t>EVNP-0442</t>
  </si>
  <si>
    <t>EVNP-0442-P1</t>
  </si>
  <si>
    <t>Majheri Resort and Spa (TATA Fast AC)</t>
  </si>
  <si>
    <t>Lalupate Margha, Pokhara 33700</t>
  </si>
  <si>
    <t>https://www.google.com/maps/search/?api=1&amp;query=Majheri%20Resort%20and%20Spa%20%28TATA%20Fast%20AC%29%2C%20Lalupate%20Margha%2C%20Pokhara%2033700</t>
  </si>
  <si>
    <t>EVNP-0443</t>
  </si>
  <si>
    <t>EVNP-0443-P1</t>
  </si>
  <si>
    <t>Midtown Galleria</t>
  </si>
  <si>
    <t>New Rd, Pokhara 33700</t>
  </si>
  <si>
    <t>https://www.google.com/maps/search/?api=1&amp;query=Midtown%20Galleria%2C%20New%20Rd%2C%20Pokhara%2033700</t>
  </si>
  <si>
    <t>EVNP-0444</t>
  </si>
  <si>
    <t>EVNP-0444-P1</t>
  </si>
  <si>
    <t>My Hotel, Pokhara</t>
  </si>
  <si>
    <t>Pokhara 33700</t>
  </si>
  <si>
    <t>https://www.google.com/maps/search/?api=1&amp;query=My%20Hotel%2C%20Pokhara%2C%20Pokhara%2033700</t>
  </si>
  <si>
    <t>EVNP-0445</t>
  </si>
  <si>
    <t>EVNP-0445-P1</t>
  </si>
  <si>
    <t>APF Kalika Fuel Station</t>
  </si>
  <si>
    <t>Pokhara-Baglung Hwy, Pokhara 33700</t>
  </si>
  <si>
    <t>https://www.google.com/maps/search/?api=1&amp;query=APF%20Kalika%20Fuel%20Station%2C%20Pokhara-Baglung%20Hwy%2C%20Pokhara%2033700</t>
  </si>
  <si>
    <t>EVNP-0445-P2</t>
  </si>
  <si>
    <t>EVNP-0446</t>
  </si>
  <si>
    <t>EVNP-0446-P1</t>
  </si>
  <si>
    <t>Plugin Automobiles</t>
  </si>
  <si>
    <t>Uttam Chowk, Pokhara 33700</t>
  </si>
  <si>
    <t>https://www.google.com/maps/search/?api=1&amp;query=Plugin%20Automobiles%2C%20Uttam%20Chowk%2C%20Pokhara%2033700</t>
  </si>
  <si>
    <t>EVNP-0447</t>
  </si>
  <si>
    <t>EVNP-0447-P1</t>
  </si>
  <si>
    <t>S.S. View Restaurant, Syangja (TATA Fast AC)</t>
  </si>
  <si>
    <t>4VJ7+27W, H10, Putalibazar 33800</t>
  </si>
  <si>
    <t>https://www.google.com/maps/search/?api=1&amp;query=S.S.%20View%20Restaurant%2C%20Syangja%20%28TATA%20Fast%20AC%29%2C%204VJ7%2B27W%2C%20H10%2C%20Putalibazar%2033800</t>
  </si>
  <si>
    <t>EVNP-0448</t>
  </si>
  <si>
    <t>EVNP-0448-P1</t>
  </si>
  <si>
    <t>XQP9+7G9, H10, Waling 33801</t>
  </si>
  <si>
    <t>EVNP-0449</t>
  </si>
  <si>
    <t>EVNP-0449-P1</t>
  </si>
  <si>
    <t>Himaldeep Auto Mobile</t>
  </si>
  <si>
    <t>HJQC+6FC, H12, Birendranagar</t>
  </si>
  <si>
    <t>https://www.google.com/maps/search/?api=1&amp;query=Himaldeep%20Auto%20Mobile%2C%20HJQC%2B6FC%2C%20H12%2C%20Birendranagar</t>
  </si>
  <si>
    <t>EVNP-0450</t>
  </si>
  <si>
    <t>EVNP-0450-P1</t>
  </si>
  <si>
    <t>Siddhartha Resort Chisapani</t>
  </si>
  <si>
    <t>Chisapani Chisapani</t>
  </si>
  <si>
    <t>https://www.google.com/maps/search/?api=1&amp;query=Siddhartha%20Resort%20Chisapani%2C%20Chisapani%20Chisapani</t>
  </si>
  <si>
    <t>EVNP-0451</t>
  </si>
  <si>
    <t>EVNP-0451-P1</t>
  </si>
  <si>
    <t>Quick20 Riverside Hotel</t>
  </si>
  <si>
    <t>E - W Hwy, Amlekhganj 44400</t>
  </si>
  <si>
    <t>https://www.google.com/maps/search/?api=1&amp;query=Quick20%20Riverside%20Hotel%2C%20E%20-%20W%20Hwy%2C%20Amlekhganj%2044400</t>
  </si>
  <si>
    <t>EVNP-0452</t>
  </si>
  <si>
    <t>EVNP-0452-P1</t>
  </si>
  <si>
    <t>Green Automobiles (DFSK EV Nepal), Chardobato</t>
  </si>
  <si>
    <t>Chardobato</t>
  </si>
  <si>
    <t>https://www.google.com/maps/search/?api=1&amp;query=Green%20Automobiles%20%28DFSK%20EV%20Nepal%29%2C%20Chardobato%2C%20Chardobato</t>
  </si>
  <si>
    <t>EVNP-0453</t>
  </si>
  <si>
    <t>EVNP-0453-P1</t>
  </si>
  <si>
    <t>Sajha Auto Center MG</t>
  </si>
  <si>
    <t>Bypass Rd, Bharatpur 44207</t>
  </si>
  <si>
    <t>https://www.google.com/maps/search/?api=1&amp;query=Sajha%20Auto%20Center%20MG%2C%20Bypass%20Rd%2C%20Bharatpur%2044207</t>
  </si>
  <si>
    <t>EVNP-0454</t>
  </si>
  <si>
    <t>EVNP-0454-P1</t>
  </si>
  <si>
    <t>Siraichuli Hotel</t>
  </si>
  <si>
    <t>E W Lions Chowk, Mahendra Hwy, Bharatpur 44207</t>
  </si>
  <si>
    <t>https://www.google.com/maps/search/?api=1&amp;query=Siraichuli%20Hotel%2C%20E%20W%20Lions%20Chowk%2C%20Mahendra%20Hwy%2C%20Bharatpur%2044207</t>
  </si>
  <si>
    <t>EVNP-0455</t>
  </si>
  <si>
    <t>EVNP-0455-P1</t>
  </si>
  <si>
    <t>Central Palms Hotel (TATA Fast AC)</t>
  </si>
  <si>
    <t>MCV8+7JJ Central Palms Hotel, Bharatpur 44207</t>
  </si>
  <si>
    <t>https://www.google.com/maps/search/?api=1&amp;query=Central%20Palms%20Hotel%20%28TATA%20Fast%20AC%29%2C%20MCV8%2B7JJ%20Central%20Palms%20Hotel%2C%20Bharatpur%2044207</t>
  </si>
  <si>
    <t>EVNP-0456</t>
  </si>
  <si>
    <t>EVNP-0456-P1</t>
  </si>
  <si>
    <t>Hills n Horizon Resort</t>
  </si>
  <si>
    <t>QPXQ+V9 Charaundi</t>
  </si>
  <si>
    <t>https://www.google.com/maps/search/?api=1&amp;query=Hills%20n%20Horizon%20Resort%2C%20QPXQ%2BV9%20Charaundi</t>
  </si>
  <si>
    <t>EVNP-0457</t>
  </si>
  <si>
    <t>EVNP-0457-P1</t>
  </si>
  <si>
    <t>Hotel Ambrosia, Charikot</t>
  </si>
  <si>
    <t>Bhimeshwor Municipality 45500</t>
  </si>
  <si>
    <t>https://www.google.com/maps/search/?api=1&amp;query=Hotel%20Ambrosia%2C%20Charikot%2C%20Bhimeshwor%20Municipality%2045500</t>
  </si>
  <si>
    <t>EVNP-0458</t>
  </si>
  <si>
    <t>EVNP-0458-P1</t>
  </si>
  <si>
    <t>Bhimeshwor Charging Station</t>
  </si>
  <si>
    <t>Lamosangu-Ramechhap Highway, Bhimeshwor Municipality 45500</t>
  </si>
  <si>
    <t>https://www.google.com/maps/search/?api=1&amp;query=Bhimeshwor%20Charging%20Station%2C%20Lamosangu-Ramechhap%20Highway%2C%20Bhimeshwor%20Municipality%2045500</t>
  </si>
  <si>
    <t>EVNP-0459</t>
  </si>
  <si>
    <t>EVNP-0459-P1</t>
  </si>
  <si>
    <t>Charikot Charging Station</t>
  </si>
  <si>
    <t>M28W+J7X, Bhimeshwor Municipality 45500</t>
  </si>
  <si>
    <t>https://www.google.com/maps/search/?api=1&amp;query=Charikot%20Charging%20Station%2C%20M28W%2BJ7X%2C%20Bhimeshwor%20Municipality%2045500</t>
  </si>
  <si>
    <t>EVNP-0460</t>
  </si>
  <si>
    <t>EVNP-0460-P1</t>
  </si>
  <si>
    <t>Charikot Hotel Kings &amp; Lodge</t>
  </si>
  <si>
    <t>Petrol pump side, Bhimeshwor Municipality</t>
  </si>
  <si>
    <t>https://www.google.com/maps/search/?api=1&amp;query=Charikot%20Hotel%20Kings%20%26%20Lodge%2C%20Petrol%20pump%20side%2C%20Bhimeshwor%20Municipality</t>
  </si>
  <si>
    <t>Birgunj</t>
  </si>
  <si>
    <t>Janakpur</t>
  </si>
  <si>
    <t>Nepalgunj</t>
  </si>
  <si>
    <t>Dhandaghi</t>
  </si>
  <si>
    <t>Dharan</t>
  </si>
  <si>
    <t>Bharatpur</t>
  </si>
  <si>
    <t>Birtamode</t>
  </si>
  <si>
    <t>Birtamod</t>
  </si>
  <si>
    <t>Tulsipuar</t>
  </si>
  <si>
    <t>Bardiwas</t>
  </si>
  <si>
    <t>Phidim</t>
  </si>
  <si>
    <t>Bhimeshwor</t>
  </si>
  <si>
    <t>Damauli</t>
  </si>
  <si>
    <t>Bhimad</t>
  </si>
  <si>
    <t>Beni</t>
  </si>
  <si>
    <t>Tansen</t>
  </si>
  <si>
    <t>Madanpokhara</t>
  </si>
  <si>
    <t>Siddharthanagar</t>
  </si>
  <si>
    <t>Bhairahawa</t>
  </si>
  <si>
    <t>Ramgram</t>
  </si>
  <si>
    <t>Sunwal</t>
  </si>
  <si>
    <t>Dumkibas</t>
  </si>
  <si>
    <t>Bhaluwang</t>
  </si>
  <si>
    <t>Lalmatiya</t>
  </si>
  <si>
    <t>Darechowk</t>
  </si>
  <si>
    <t>Mulkot</t>
  </si>
  <si>
    <t>Kamalamai</t>
  </si>
  <si>
    <t>Dudhauli</t>
  </si>
  <si>
    <t>Ratnanagar</t>
  </si>
  <si>
    <t>Meghauli</t>
  </si>
  <si>
    <t>Chandrapur</t>
  </si>
  <si>
    <t>Mithila</t>
  </si>
  <si>
    <t>Suryodaya</t>
  </si>
  <si>
    <t>Pakhribas</t>
  </si>
  <si>
    <t>Bhedetar</t>
  </si>
  <si>
    <t>Thakudwara</t>
  </si>
  <si>
    <t>Ruru</t>
  </si>
  <si>
    <t>Arghakhanchi</t>
  </si>
  <si>
    <t>Supadeurali</t>
  </si>
  <si>
    <t>Sitganga</t>
  </si>
  <si>
    <t>Chandrauta</t>
  </si>
  <si>
    <t>Kapilvastu</t>
  </si>
  <si>
    <t>Taulihawa</t>
  </si>
  <si>
    <t>Simara</t>
  </si>
  <si>
    <t>Kalaiya</t>
  </si>
  <si>
    <t>Gaur</t>
  </si>
  <si>
    <t>Malangwa</t>
  </si>
  <si>
    <t>Dhalkebar</t>
  </si>
  <si>
    <t>Inaruwa</t>
  </si>
  <si>
    <t>Haraicha</t>
  </si>
  <si>
    <t>Letang</t>
  </si>
  <si>
    <t>Beltar</t>
  </si>
  <si>
    <t>Sombare</t>
  </si>
  <si>
    <t>Udaypur</t>
  </si>
  <si>
    <t>Jhangajholi</t>
  </si>
  <si>
    <t>Ratanchura</t>
  </si>
  <si>
    <t>Golanjor</t>
  </si>
  <si>
    <t>Bhadrakali</t>
  </si>
  <si>
    <t>Sangachok</t>
  </si>
  <si>
    <t>Chautara</t>
  </si>
  <si>
    <t>Sukute</t>
  </si>
  <si>
    <t>Barhabise</t>
  </si>
  <si>
    <t>Likhu</t>
  </si>
  <si>
    <t>Galchhi</t>
  </si>
  <si>
    <t>Naubise</t>
  </si>
  <si>
    <t>Matatirtha</t>
  </si>
  <si>
    <t>Kupondole</t>
  </si>
  <si>
    <t>Kupandole</t>
  </si>
  <si>
    <t>Balaju</t>
  </si>
  <si>
    <t>Sinamangal</t>
  </si>
  <si>
    <t>Tinkune</t>
  </si>
  <si>
    <t>Dhapasi</t>
  </si>
  <si>
    <t>Thamel</t>
  </si>
  <si>
    <t>Pulchowk</t>
  </si>
  <si>
    <t>Kusunti</t>
  </si>
  <si>
    <t>Dhumbarahi</t>
  </si>
  <si>
    <t>Kulekhani</t>
  </si>
  <si>
    <t>Manahari</t>
  </si>
  <si>
    <t>Thaha</t>
  </si>
  <si>
    <t>Bachhauli</t>
  </si>
  <si>
    <t>Aabu Khaireni</t>
  </si>
  <si>
    <t>Charaundi</t>
  </si>
  <si>
    <t>Paudi</t>
  </si>
  <si>
    <t>Darakh</t>
  </si>
  <si>
    <t>Mechi</t>
  </si>
  <si>
    <t>Padamtar</t>
  </si>
  <si>
    <t>Jitgadi</t>
  </si>
  <si>
    <t>Kalikanagar</t>
  </si>
  <si>
    <t>Kalika Nagar</t>
  </si>
  <si>
    <t>Ratamate</t>
  </si>
  <si>
    <t>Bansghari</t>
  </si>
  <si>
    <t>Sangha Chowk</t>
  </si>
  <si>
    <t>Belkhu</t>
  </si>
  <si>
    <t>Biratchowk</t>
  </si>
  <si>
    <t>Satbariya</t>
  </si>
  <si>
    <t>Aanbu Khaireni</t>
  </si>
  <si>
    <t>Bandipur</t>
  </si>
  <si>
    <t>Gokarneshwor</t>
  </si>
  <si>
    <t>Kushma</t>
  </si>
  <si>
    <t>Putalibazar</t>
  </si>
  <si>
    <t>Birendranagar</t>
  </si>
  <si>
    <t>Amlekhganj</t>
  </si>
  <si>
    <t>Sindhupalchwok</t>
  </si>
  <si>
    <t>Sindhupalchowk</t>
  </si>
  <si>
    <t>Udayapur</t>
  </si>
  <si>
    <t>Sindhupalchok</t>
  </si>
  <si>
    <t>Sankhuwasabha</t>
  </si>
  <si>
    <t>Palpa</t>
  </si>
  <si>
    <t>Taplejung</t>
  </si>
  <si>
    <t>Terhathum</t>
  </si>
  <si>
    <t>Bhojpur</t>
  </si>
  <si>
    <t>Solukhumbu</t>
  </si>
  <si>
    <t>Rasuwa</t>
  </si>
  <si>
    <t>Rolpa</t>
  </si>
  <si>
    <t>Dailekh</t>
  </si>
  <si>
    <t>Jajarkot</t>
  </si>
  <si>
    <t>Sudurpashchim</t>
  </si>
  <si>
    <t>Achham</t>
  </si>
  <si>
    <t>Baitadi</t>
  </si>
  <si>
    <t>contact_best</t>
  </si>
  <si>
    <t>contact_basis</t>
  </si>
  <si>
    <t>contact_type</t>
  </si>
  <si>
    <t>contact_format_check</t>
  </si>
  <si>
    <t>contact_clean</t>
  </si>
  <si>
    <t>contact_core</t>
  </si>
  <si>
    <t>contact_national</t>
  </si>
  <si>
    <t>contact_e164</t>
  </si>
  <si>
    <t>+977-1-4153051</t>
  </si>
  <si>
    <t>+977-9801462823</t>
  </si>
  <si>
    <t>+977-1-4230340</t>
  </si>
  <si>
    <t>+977-9802396101</t>
  </si>
  <si>
    <t xml:space="preserve"> (+977-9761888797)</t>
  </si>
  <si>
    <t xml:space="preserve">plug_type='CCS2 / GB/T (varies)' | power_type='AC or DC </t>
  </si>
  <si>
    <t>plug_type='CCS2 / GB/T (varies)' | power_type='AC or DC</t>
  </si>
  <si>
    <t xml:space="preserve">plug_type='CCS2 / GB/T ' | power_type='AC or DC </t>
  </si>
  <si>
    <t>plug_type='CCS2 / GB/T ' | power_type='AC or DC</t>
  </si>
  <si>
    <t xml:space="preserve">plug_type='CCS2 / GB/T' | power_type='AC or DC </t>
  </si>
  <si>
    <t xml:space="preserve">plug_type='CCS2 / GB/T   | power_type='AC or DC </t>
  </si>
  <si>
    <t xml:space="preserve">plug_type='CCS2 / GB/T | power_type='AC or DC </t>
  </si>
  <si>
    <t xml:space="preserve">plug_type='CCS2 / GB/T  | power_type='AC or DC </t>
  </si>
  <si>
    <t>Assumed: default national hotline (not station-specific)</t>
  </si>
  <si>
    <t>Operator hotline (web, not station-specific)</t>
  </si>
  <si>
    <t>From source</t>
  </si>
  <si>
    <t>Derived: same station name</t>
  </si>
  <si>
    <t>keyword</t>
  </si>
  <si>
    <t>Chhaya Center</t>
  </si>
  <si>
    <t>Koshi Rajmarg</t>
  </si>
  <si>
    <t>Dhangadhimai</t>
  </si>
  <si>
    <t>Hanumannagar</t>
  </si>
  <si>
    <t>Jhangajhuli</t>
  </si>
  <si>
    <t>Maharajgunj</t>
  </si>
  <si>
    <t>Durbar Marg</t>
  </si>
  <si>
    <t>Naagpokhari</t>
  </si>
  <si>
    <t>Besishahar</t>
  </si>
  <si>
    <t>Nagpokhari</t>
  </si>
  <si>
    <t>Amrit Marg</t>
  </si>
  <si>
    <t>Bardhaghat</t>
  </si>
  <si>
    <t>Parasi</t>
  </si>
  <si>
    <t>Taltalaiya</t>
  </si>
  <si>
    <t>Sanischare</t>
  </si>
  <si>
    <t>Chinedada</t>
  </si>
  <si>
    <t>Laxminiya</t>
  </si>
  <si>
    <t>Mirchaiya</t>
  </si>
  <si>
    <t>Jhangholi</t>
  </si>
  <si>
    <t>Lamosangu</t>
  </si>
  <si>
    <t>Pepsicola</t>
  </si>
  <si>
    <t>Pahelopul</t>
  </si>
  <si>
    <t>Paklihawa</t>
  </si>
  <si>
    <t>Bargachhi</t>
  </si>
  <si>
    <t>Bhadrapur</t>
  </si>
  <si>
    <t>Lakeside</t>
  </si>
  <si>
    <t>Baghmara</t>
  </si>
  <si>
    <t>Basamadi</t>
  </si>
  <si>
    <t>Tribhuli</t>
  </si>
  <si>
    <t>Hattisar</t>
  </si>
  <si>
    <t>Shivaraj</t>
  </si>
  <si>
    <t>Chakchke</t>
  </si>
  <si>
    <t>Bargachi</t>
  </si>
  <si>
    <t>Birauta</t>
  </si>
  <si>
    <t>Panauti</t>
  </si>
  <si>
    <t>Thirbam</t>
  </si>
  <si>
    <t>Ganapur</t>
  </si>
  <si>
    <t>Rangeli</t>
  </si>
  <si>
    <t>Dhaijan</t>
  </si>
  <si>
    <t>Baidam</t>
  </si>
  <si>
    <t>Begnas</t>
  </si>
  <si>
    <t>Gajuri</t>
  </si>
  <si>
    <t>Birguj</t>
  </si>
  <si>
    <t>Harion</t>
  </si>
  <si>
    <t>Battar</t>
  </si>
  <si>
    <t>Sukhad</t>
  </si>
  <si>
    <t>Ghurmi</t>
  </si>
  <si>
    <t>Bhanu</t>
  </si>
  <si>
    <t>Dumja</t>
  </si>
  <si>
    <t>Roshi</t>
  </si>
  <si>
    <t>Labim</t>
  </si>
  <si>
    <t>Chuha</t>
  </si>
  <si>
    <t>Jiri</t>
  </si>
  <si>
    <t>Assumed mapping: district inferred from town/locality keywords found in city + address text; province from the standard Nepal district-to-province assignment. Keywords are matched longest-first.</t>
  </si>
  <si>
    <t>Andrauli</t>
  </si>
  <si>
    <t>Rashwa Bivag</t>
  </si>
  <si>
    <t>Low-confidence keywords: 'Rashwa Bivag' -&gt; Gulmi (Ridhi EV Charging Station, assumed Ridi Bazaar); 'Andrauli' -&gt; Chitwan (Barahi Jungle Lodge, Meghauli).</t>
  </si>
  <si>
    <t>Hotel Royal, and EV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</si>
</sst>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8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589517-4281-4596-963D-9D395FE411F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88ad056-e241-49fb-9002-2966c4ec679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8"/>
  <sheetViews>
    <sheetView tabSelected="1" workbookViewId="0">
      <pane ySplit="1" topLeftCell="A520" activePane="bottomLeft" state="frozen"/>
      <selection pane="bottomLeft" activeCell="C508" sqref="C508"/>
    </sheetView>
  </sheetViews>
  <sheetFormatPr defaultRowHeight="14.4" x14ac:dyDescent="0.3"/>
  <cols>
    <col min="1" max="1" width="10.5546875" bestFit="1" customWidth="1"/>
    <col min="2" max="2" width="13.5546875" bestFit="1" customWidth="1"/>
    <col min="3" max="3" width="61.88671875" bestFit="1" customWidth="1"/>
    <col min="4" max="4" width="36.6640625" bestFit="1" customWidth="1"/>
    <col min="5" max="5" width="64.5546875" bestFit="1" customWidth="1"/>
    <col min="6" max="6" width="16.88671875" bestFit="1" customWidth="1"/>
    <col min="7" max="7" width="14.33203125" bestFit="1" customWidth="1"/>
    <col min="8" max="8" width="13.77734375" bestFit="1" customWidth="1"/>
    <col min="9" max="9" width="14.77734375" bestFit="1" customWidth="1"/>
    <col min="10" max="10" width="14.5546875" bestFit="1" customWidth="1"/>
    <col min="11" max="11" width="13.109375" bestFit="1" customWidth="1"/>
    <col min="12" max="12" width="12.88671875" bestFit="1" customWidth="1"/>
    <col min="13" max="13" width="14.5546875" bestFit="1" customWidth="1"/>
    <col min="14" max="14" width="83.5546875" bestFit="1" customWidth="1"/>
    <col min="15" max="15" width="10.77734375" bestFit="1" customWidth="1"/>
    <col min="16" max="16" width="34.5546875" bestFit="1" customWidth="1"/>
    <col min="17" max="17" width="252.109375" bestFit="1" customWidth="1"/>
    <col min="18" max="19" width="11.33203125" bestFit="1" customWidth="1"/>
    <col min="20" max="21" width="80.77734375" bestFit="1" customWidth="1"/>
    <col min="22" max="22" width="7.33203125" bestFit="1" customWidth="1"/>
    <col min="23" max="23" width="19.5546875" customWidth="1"/>
    <col min="24" max="24" width="24.88671875" customWidth="1"/>
    <col min="25" max="25" width="41.109375" customWidth="1"/>
    <col min="26" max="26" width="58" customWidth="1"/>
    <col min="27" max="27" width="15" customWidth="1"/>
    <col min="28" max="28" width="14.109375" bestFit="1" customWidth="1"/>
    <col min="29" max="29" width="18.33203125" customWidth="1"/>
    <col min="30" max="30" width="25.5546875" customWidth="1"/>
    <col min="31" max="31" width="15.109375" bestFit="1" customWidth="1"/>
    <col min="32" max="32" width="20.21875" bestFit="1" customWidth="1"/>
    <col min="33" max="33" width="20.554687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2478</v>
      </c>
      <c r="Y1" s="1" t="s">
        <v>2479</v>
      </c>
      <c r="Z1" s="1" t="s">
        <v>2482</v>
      </c>
      <c r="AA1" s="1" t="s">
        <v>2483</v>
      </c>
      <c r="AB1" s="1" t="s">
        <v>2484</v>
      </c>
      <c r="AC1" s="1" t="s">
        <v>2485</v>
      </c>
      <c r="AD1" s="1" t="s">
        <v>2480</v>
      </c>
      <c r="AE1" s="1" t="s">
        <v>2481</v>
      </c>
    </row>
    <row r="2" spans="1:31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25</v>
      </c>
      <c r="F2" s="2" t="s">
        <v>25</v>
      </c>
      <c r="G2" s="5" t="str" cm="1">
        <f t="array" ref="G2">IFERROR(INDEX(City_Lookup!$B$2:$B$297,MATCH(TRUE,ISNUMBER(SEARCH(City_Lookup!$A$2:$A$297,$F2&amp;" "&amp;$E2)),0)),"Not Available")</f>
        <v>Tanahun</v>
      </c>
      <c r="H2" s="5" t="str">
        <f>IFERROR(INDEX(City_Lookup!$E$2:$E$66,MATCH($G2,City_Lookup!$D$2:$D$66,0)),"Not Available")</f>
        <v>Gandaki</v>
      </c>
      <c r="I2" s="2" t="s">
        <v>28</v>
      </c>
      <c r="J2" s="2" t="s">
        <v>29</v>
      </c>
      <c r="K2" s="2" t="s">
        <v>30</v>
      </c>
      <c r="L2" s="2"/>
      <c r="M2" s="2" t="s">
        <v>30</v>
      </c>
      <c r="N2" s="2" t="s">
        <v>31</v>
      </c>
      <c r="O2" s="2">
        <v>2</v>
      </c>
      <c r="P2" s="2" t="s">
        <v>27</v>
      </c>
      <c r="Q2" s="2" t="s">
        <v>32</v>
      </c>
      <c r="R2" s="2" t="s">
        <v>33</v>
      </c>
      <c r="S2" s="2" t="s">
        <v>27</v>
      </c>
      <c r="T2" s="2" t="s">
        <v>34</v>
      </c>
      <c r="U2" s="2" t="s">
        <v>35</v>
      </c>
      <c r="V2" s="2" t="s">
        <v>36</v>
      </c>
      <c r="W2" s="2" t="s">
        <v>37</v>
      </c>
      <c r="X2" s="4" t="s">
        <v>2486</v>
      </c>
      <c r="Y2" s="4" t="s">
        <v>2500</v>
      </c>
      <c r="Z2" t="str">
        <f>IF($X2="Not Available","",TRIM(LEFT(SUBSTITUTE(SUBSTITUTE(SUBSTITUTE(SUBSTITUTE(SUBSTITUTE(SUBSTITUTE(SUBSTITUTE($X2," ",""),"-",""),"(",""),")",""),".",""),"+","")&amp;"/","/",REPT(" ",60)),60)))</f>
        <v>97714153051</v>
      </c>
      <c r="AA2" t="str">
        <f>IF($Z2="","",IF(ISNUMBER(-$Z2),IF(LEFT($Z2,3)="977",MID($Z2,4,20),$Z2),IF(ISNUMBER(SEARCH("977",$Z2)),MID($Z2,SEARCH("977",$Z2)+3,20),$Z2)))</f>
        <v>14153051</v>
      </c>
      <c r="AB2" t="str">
        <f>IF($AA2="","",IF(LEFT($AA2,1)="0",MID($AA2,2,20),$AA2))</f>
        <v>14153051</v>
      </c>
      <c r="AC2" t="str">
        <f>IF($AB2="","Not Available","+977"&amp;$AB2)</f>
        <v>+97714153051</v>
      </c>
      <c r="AD2" t="str">
        <f>IF($AB2="","Not Available",IF(AND(LEN($AB2)=10,LEFT($AB2,1)="9"),"Mobile",IF(AND(LEN($AB2)&gt;=8,LEN($AB2)&lt;=9),IF(ISNUMBER(SEARCH("/",$X2)),"Landline (multiple lines)","Landline"),"Unrecognised")))</f>
        <v>Landline</v>
      </c>
      <c r="AE2" t="str">
        <f>IF($AB2="","Not Available",IF(AND(ISNUMBER(-$AB2),$AD2&lt;&gt;"Unrecognised"),"Valid","Check format"))</f>
        <v>Valid</v>
      </c>
    </row>
    <row r="3" spans="1:31" x14ac:dyDescent="0.3">
      <c r="A3" s="2" t="s">
        <v>23</v>
      </c>
      <c r="B3" s="2" t="s">
        <v>38</v>
      </c>
      <c r="C3" s="2" t="s">
        <v>25</v>
      </c>
      <c r="D3" s="2" t="s">
        <v>26</v>
      </c>
      <c r="E3" s="2" t="s">
        <v>25</v>
      </c>
      <c r="F3" s="2" t="s">
        <v>25</v>
      </c>
      <c r="G3" s="5" t="str" cm="1">
        <f t="array" ref="G3">IFERROR(INDEX(City_Lookup!$B$2:$B$297,MATCH(TRUE,ISNUMBER(SEARCH(City_Lookup!$A$2:$A$297,$F3&amp;" "&amp;$E3)),0)),"Not Available")</f>
        <v>Tanahun</v>
      </c>
      <c r="H3" s="5" t="str">
        <f>IFERROR(INDEX(City_Lookup!$E$2:$E$66,MATCH($G3,City_Lookup!$D$2:$D$66,0)),"Not Available")</f>
        <v>Gandaki</v>
      </c>
      <c r="I3" s="2" t="s">
        <v>28</v>
      </c>
      <c r="J3" s="2" t="s">
        <v>39</v>
      </c>
      <c r="K3" s="2"/>
      <c r="L3" s="2" t="s">
        <v>40</v>
      </c>
      <c r="M3" s="2" t="s">
        <v>40</v>
      </c>
      <c r="N3" s="2" t="s">
        <v>31</v>
      </c>
      <c r="O3" s="2">
        <v>2</v>
      </c>
      <c r="P3" s="2" t="s">
        <v>27</v>
      </c>
      <c r="Q3" s="2" t="s">
        <v>32</v>
      </c>
      <c r="R3" s="2" t="s">
        <v>33</v>
      </c>
      <c r="S3" s="2" t="s">
        <v>27</v>
      </c>
      <c r="T3" s="2" t="s">
        <v>34</v>
      </c>
      <c r="U3" s="2" t="s">
        <v>35</v>
      </c>
      <c r="V3" s="2" t="s">
        <v>36</v>
      </c>
      <c r="W3" s="2" t="s">
        <v>37</v>
      </c>
      <c r="X3" s="4" t="s">
        <v>2486</v>
      </c>
      <c r="Y3" s="4" t="s">
        <v>2500</v>
      </c>
      <c r="Z3" t="str">
        <f t="shared" ref="Z3:Z66" si="0">IF($X3="Not Available","",TRIM(LEFT(SUBSTITUTE(SUBSTITUTE(SUBSTITUTE(SUBSTITUTE(SUBSTITUTE(SUBSTITUTE(SUBSTITUTE($X3," ",""),"-",""),"(",""),")",""),".",""),"+","")&amp;"/","/",REPT(" ",60)),60)))</f>
        <v>97714153051</v>
      </c>
      <c r="AA3" t="str">
        <f t="shared" ref="AA3:AA66" si="1">IF($Z3="","",IF(ISNUMBER(-$Z3),IF(LEFT($Z3,3)="977",MID($Z3,4,20),$Z3),IF(ISNUMBER(SEARCH("977",$Z3)),MID($Z3,SEARCH("977",$Z3)+3,20),$Z3)))</f>
        <v>14153051</v>
      </c>
      <c r="AB3" t="str">
        <f t="shared" ref="AB3:AB66" si="2">IF($AA3="","",IF(LEFT($AA3,1)="0",MID($AA3,2,20),$AA3))</f>
        <v>14153051</v>
      </c>
      <c r="AC3" t="str">
        <f t="shared" ref="AC3:AC66" si="3">IF($AB3="","Not Available","+977"&amp;$AB3)</f>
        <v>+97714153051</v>
      </c>
      <c r="AD3" t="str">
        <f t="shared" ref="AD3:AD66" si="4">IF($AB3="","Not Available",IF(AND(LEN($AB3)=10,LEFT($AB3,1)="9"),"Mobile",IF(AND(LEN($AB3)&gt;=8,LEN($AB3)&lt;=9),IF(ISNUMBER(SEARCH("/",$X3)),"Landline (multiple lines)","Landline"),"Unrecognised")))</f>
        <v>Landline</v>
      </c>
      <c r="AE3" t="str">
        <f t="shared" ref="AE3:AE66" si="5">IF($AB3="","Not Available",IF(AND(ISNUMBER(-$AB3),$AD3&lt;&gt;"Unrecognised"),"Valid","Check format"))</f>
        <v>Valid</v>
      </c>
    </row>
    <row r="4" spans="1:31" x14ac:dyDescent="0.3">
      <c r="A4" s="2" t="s">
        <v>41</v>
      </c>
      <c r="B4" s="2" t="s">
        <v>42</v>
      </c>
      <c r="C4" s="2" t="s">
        <v>43</v>
      </c>
      <c r="D4" s="2" t="s">
        <v>26</v>
      </c>
      <c r="E4" s="2" t="s">
        <v>43</v>
      </c>
      <c r="F4" s="2" t="s">
        <v>43</v>
      </c>
      <c r="G4" s="5" t="str" cm="1">
        <f t="array" ref="G4">IFERROR(INDEX(City_Lookup!$B$2:$B$297,MATCH(TRUE,ISNUMBER(SEARCH(City_Lookup!$A$2:$A$297,$F4&amp;" "&amp;$E4)),0)),"Not Available")</f>
        <v>Chitwan</v>
      </c>
      <c r="H4" s="5" t="str">
        <f>IFERROR(INDEX(City_Lookup!$E$2:$E$66,MATCH($G4,City_Lookup!$D$2:$D$66,0)),"Not Available")</f>
        <v>Bagmati</v>
      </c>
      <c r="I4" s="2" t="s">
        <v>28</v>
      </c>
      <c r="J4" s="2" t="s">
        <v>29</v>
      </c>
      <c r="K4" s="2" t="s">
        <v>30</v>
      </c>
      <c r="L4" s="2"/>
      <c r="M4" s="2" t="s">
        <v>30</v>
      </c>
      <c r="N4" s="2" t="s">
        <v>31</v>
      </c>
      <c r="O4" s="2">
        <v>2</v>
      </c>
      <c r="P4" s="2" t="s">
        <v>27</v>
      </c>
      <c r="Q4" s="2" t="s">
        <v>44</v>
      </c>
      <c r="R4" s="2" t="s">
        <v>33</v>
      </c>
      <c r="S4" s="2" t="s">
        <v>27</v>
      </c>
      <c r="T4" s="2" t="s">
        <v>34</v>
      </c>
      <c r="U4" s="2" t="s">
        <v>35</v>
      </c>
      <c r="V4" s="2" t="s">
        <v>36</v>
      </c>
      <c r="W4" s="2" t="s">
        <v>37</v>
      </c>
      <c r="X4" s="4" t="s">
        <v>2486</v>
      </c>
      <c r="Y4" s="4" t="s">
        <v>2500</v>
      </c>
      <c r="Z4" t="str">
        <f t="shared" si="0"/>
        <v>97714153051</v>
      </c>
      <c r="AA4" t="str">
        <f t="shared" si="1"/>
        <v>14153051</v>
      </c>
      <c r="AB4" t="str">
        <f t="shared" si="2"/>
        <v>14153051</v>
      </c>
      <c r="AC4" t="str">
        <f t="shared" si="3"/>
        <v>+97714153051</v>
      </c>
      <c r="AD4" t="str">
        <f t="shared" si="4"/>
        <v>Landline</v>
      </c>
      <c r="AE4" t="str">
        <f t="shared" si="5"/>
        <v>Valid</v>
      </c>
    </row>
    <row r="5" spans="1:31" x14ac:dyDescent="0.3">
      <c r="A5" s="2" t="s">
        <v>41</v>
      </c>
      <c r="B5" s="2" t="s">
        <v>45</v>
      </c>
      <c r="C5" s="2" t="s">
        <v>43</v>
      </c>
      <c r="D5" s="2" t="s">
        <v>26</v>
      </c>
      <c r="E5" s="2" t="s">
        <v>43</v>
      </c>
      <c r="F5" s="2" t="s">
        <v>43</v>
      </c>
      <c r="G5" s="5" t="str" cm="1">
        <f t="array" ref="G5">IFERROR(INDEX(City_Lookup!$B$2:$B$297,MATCH(TRUE,ISNUMBER(SEARCH(City_Lookup!$A$2:$A$297,$F5&amp;" "&amp;$E5)),0)),"Not Available")</f>
        <v>Chitwan</v>
      </c>
      <c r="H5" s="5" t="str">
        <f>IFERROR(INDEX(City_Lookup!$E$2:$E$66,MATCH($G5,City_Lookup!$D$2:$D$66,0)),"Not Available")</f>
        <v>Bagmati</v>
      </c>
      <c r="I5" s="2" t="s">
        <v>28</v>
      </c>
      <c r="J5" s="2" t="s">
        <v>39</v>
      </c>
      <c r="K5" s="2"/>
      <c r="L5" s="2" t="s">
        <v>40</v>
      </c>
      <c r="M5" s="2" t="s">
        <v>40</v>
      </c>
      <c r="N5" s="2" t="s">
        <v>31</v>
      </c>
      <c r="O5" s="2">
        <v>2</v>
      </c>
      <c r="P5" s="2" t="s">
        <v>27</v>
      </c>
      <c r="Q5" s="2" t="s">
        <v>44</v>
      </c>
      <c r="R5" s="2" t="s">
        <v>33</v>
      </c>
      <c r="S5" s="2" t="s">
        <v>27</v>
      </c>
      <c r="T5" s="2" t="s">
        <v>34</v>
      </c>
      <c r="U5" s="2" t="s">
        <v>35</v>
      </c>
      <c r="V5" s="2" t="s">
        <v>36</v>
      </c>
      <c r="W5" s="2" t="s">
        <v>37</v>
      </c>
      <c r="X5" s="4" t="s">
        <v>2486</v>
      </c>
      <c r="Y5" s="4" t="s">
        <v>2500</v>
      </c>
      <c r="Z5" t="str">
        <f t="shared" si="0"/>
        <v>97714153051</v>
      </c>
      <c r="AA5" t="str">
        <f t="shared" si="1"/>
        <v>14153051</v>
      </c>
      <c r="AB5" t="str">
        <f t="shared" si="2"/>
        <v>14153051</v>
      </c>
      <c r="AC5" t="str">
        <f t="shared" si="3"/>
        <v>+97714153051</v>
      </c>
      <c r="AD5" t="str">
        <f t="shared" si="4"/>
        <v>Landline</v>
      </c>
      <c r="AE5" t="str">
        <f t="shared" si="5"/>
        <v>Valid</v>
      </c>
    </row>
    <row r="6" spans="1:31" x14ac:dyDescent="0.3">
      <c r="A6" s="2" t="s">
        <v>46</v>
      </c>
      <c r="B6" s="2" t="s">
        <v>47</v>
      </c>
      <c r="C6" s="2" t="s">
        <v>48</v>
      </c>
      <c r="D6" s="2" t="s">
        <v>26</v>
      </c>
      <c r="E6" s="2" t="s">
        <v>48</v>
      </c>
      <c r="F6" s="2" t="s">
        <v>48</v>
      </c>
      <c r="G6" s="5" t="str" cm="1">
        <f t="array" ref="G6">IFERROR(INDEX(City_Lookup!$B$2:$B$297,MATCH(TRUE,ISNUMBER(SEARCH(City_Lookup!$A$2:$A$297,$F6&amp;" "&amp;$E6)),0)),"Not Available")</f>
        <v>Dhading</v>
      </c>
      <c r="H6" s="5" t="str">
        <f>IFERROR(INDEX(City_Lookup!$E$2:$E$66,MATCH($G6,City_Lookup!$D$2:$D$66,0)),"Not Available")</f>
        <v>Bagmati</v>
      </c>
      <c r="I6" s="2" t="s">
        <v>28</v>
      </c>
      <c r="J6" s="2" t="s">
        <v>29</v>
      </c>
      <c r="K6" s="2" t="s">
        <v>30</v>
      </c>
      <c r="L6" s="2"/>
      <c r="M6" s="2" t="s">
        <v>30</v>
      </c>
      <c r="N6" s="2" t="s">
        <v>31</v>
      </c>
      <c r="O6" s="2">
        <v>2</v>
      </c>
      <c r="P6" s="2" t="s">
        <v>27</v>
      </c>
      <c r="Q6" s="2" t="s">
        <v>49</v>
      </c>
      <c r="R6" s="2" t="s">
        <v>33</v>
      </c>
      <c r="S6" s="2" t="s">
        <v>27</v>
      </c>
      <c r="T6" s="2" t="s">
        <v>34</v>
      </c>
      <c r="U6" s="2" t="s">
        <v>35</v>
      </c>
      <c r="V6" s="2" t="s">
        <v>36</v>
      </c>
      <c r="W6" s="2" t="s">
        <v>37</v>
      </c>
      <c r="X6" s="4" t="s">
        <v>2486</v>
      </c>
      <c r="Y6" s="4" t="s">
        <v>2500</v>
      </c>
      <c r="Z6" t="str">
        <f t="shared" si="0"/>
        <v>97714153051</v>
      </c>
      <c r="AA6" t="str">
        <f t="shared" si="1"/>
        <v>14153051</v>
      </c>
      <c r="AB6" t="str">
        <f t="shared" si="2"/>
        <v>14153051</v>
      </c>
      <c r="AC6" t="str">
        <f t="shared" si="3"/>
        <v>+97714153051</v>
      </c>
      <c r="AD6" t="str">
        <f t="shared" si="4"/>
        <v>Landline</v>
      </c>
      <c r="AE6" t="str">
        <f t="shared" si="5"/>
        <v>Valid</v>
      </c>
    </row>
    <row r="7" spans="1:31" x14ac:dyDescent="0.3">
      <c r="A7" s="2" t="s">
        <v>46</v>
      </c>
      <c r="B7" s="2" t="s">
        <v>50</v>
      </c>
      <c r="C7" s="2" t="s">
        <v>48</v>
      </c>
      <c r="D7" s="2" t="s">
        <v>26</v>
      </c>
      <c r="E7" s="2" t="s">
        <v>48</v>
      </c>
      <c r="F7" s="2" t="s">
        <v>48</v>
      </c>
      <c r="G7" s="5" t="str" cm="1">
        <f t="array" ref="G7">IFERROR(INDEX(City_Lookup!$B$2:$B$297,MATCH(TRUE,ISNUMBER(SEARCH(City_Lookup!$A$2:$A$297,$F7&amp;" "&amp;$E7)),0)),"Not Available")</f>
        <v>Dhading</v>
      </c>
      <c r="H7" s="5" t="str">
        <f>IFERROR(INDEX(City_Lookup!$E$2:$E$66,MATCH($G7,City_Lookup!$D$2:$D$66,0)),"Not Available")</f>
        <v>Bagmati</v>
      </c>
      <c r="I7" s="2" t="s">
        <v>28</v>
      </c>
      <c r="J7" s="2" t="s">
        <v>39</v>
      </c>
      <c r="K7" s="2"/>
      <c r="L7" s="2" t="s">
        <v>40</v>
      </c>
      <c r="M7" s="2" t="s">
        <v>40</v>
      </c>
      <c r="N7" s="2" t="s">
        <v>31</v>
      </c>
      <c r="O7" s="2">
        <v>2</v>
      </c>
      <c r="P7" s="2" t="s">
        <v>27</v>
      </c>
      <c r="Q7" s="2" t="s">
        <v>49</v>
      </c>
      <c r="R7" s="2" t="s">
        <v>33</v>
      </c>
      <c r="S7" s="2" t="s">
        <v>27</v>
      </c>
      <c r="T7" s="2" t="s">
        <v>34</v>
      </c>
      <c r="U7" s="2" t="s">
        <v>35</v>
      </c>
      <c r="V7" s="2" t="s">
        <v>36</v>
      </c>
      <c r="W7" s="2" t="s">
        <v>37</v>
      </c>
      <c r="X7" s="4" t="s">
        <v>2486</v>
      </c>
      <c r="Y7" s="4" t="s">
        <v>2500</v>
      </c>
      <c r="Z7" t="str">
        <f t="shared" si="0"/>
        <v>97714153051</v>
      </c>
      <c r="AA7" t="str">
        <f t="shared" si="1"/>
        <v>14153051</v>
      </c>
      <c r="AB7" t="str">
        <f t="shared" si="2"/>
        <v>14153051</v>
      </c>
      <c r="AC7" t="str">
        <f t="shared" si="3"/>
        <v>+97714153051</v>
      </c>
      <c r="AD7" t="str">
        <f t="shared" si="4"/>
        <v>Landline</v>
      </c>
      <c r="AE7" t="str">
        <f t="shared" si="5"/>
        <v>Valid</v>
      </c>
    </row>
    <row r="8" spans="1:31" x14ac:dyDescent="0.3">
      <c r="A8" s="2" t="s">
        <v>51</v>
      </c>
      <c r="B8" s="2" t="s">
        <v>52</v>
      </c>
      <c r="C8" s="2" t="s">
        <v>53</v>
      </c>
      <c r="D8" s="2" t="s">
        <v>26</v>
      </c>
      <c r="E8" s="2" t="s">
        <v>53</v>
      </c>
      <c r="F8" s="2" t="s">
        <v>53</v>
      </c>
      <c r="G8" s="5" t="str" cm="1">
        <f t="array" ref="G8">IFERROR(INDEX(City_Lookup!$B$2:$B$297,MATCH(TRUE,ISNUMBER(SEARCH(City_Lookup!$A$2:$A$297,$F8&amp;" "&amp;$E8)),0)),"Not Available")</f>
        <v>Dolakha</v>
      </c>
      <c r="H8" s="5" t="str">
        <f>IFERROR(INDEX(City_Lookup!$E$2:$E$66,MATCH($G8,City_Lookup!$D$2:$D$66,0)),"Not Available")</f>
        <v>Bagmati</v>
      </c>
      <c r="I8" s="2" t="s">
        <v>28</v>
      </c>
      <c r="J8" s="2" t="s">
        <v>29</v>
      </c>
      <c r="K8" s="2" t="s">
        <v>30</v>
      </c>
      <c r="L8" s="2"/>
      <c r="M8" s="2" t="s">
        <v>30</v>
      </c>
      <c r="N8" s="2" t="s">
        <v>31</v>
      </c>
      <c r="O8" s="2">
        <v>2</v>
      </c>
      <c r="P8" s="2" t="s">
        <v>27</v>
      </c>
      <c r="Q8" s="2" t="s">
        <v>55</v>
      </c>
      <c r="R8" s="2" t="s">
        <v>33</v>
      </c>
      <c r="S8" s="2" t="s">
        <v>27</v>
      </c>
      <c r="T8" s="2" t="s">
        <v>34</v>
      </c>
      <c r="U8" s="2" t="s">
        <v>35</v>
      </c>
      <c r="V8" s="2" t="s">
        <v>36</v>
      </c>
      <c r="W8" s="2" t="s">
        <v>37</v>
      </c>
      <c r="X8" s="4" t="s">
        <v>2486</v>
      </c>
      <c r="Y8" s="4" t="s">
        <v>2500</v>
      </c>
      <c r="Z8" t="str">
        <f t="shared" si="0"/>
        <v>97714153051</v>
      </c>
      <c r="AA8" t="str">
        <f t="shared" si="1"/>
        <v>14153051</v>
      </c>
      <c r="AB8" t="str">
        <f t="shared" si="2"/>
        <v>14153051</v>
      </c>
      <c r="AC8" t="str">
        <f t="shared" si="3"/>
        <v>+97714153051</v>
      </c>
      <c r="AD8" t="str">
        <f t="shared" si="4"/>
        <v>Landline</v>
      </c>
      <c r="AE8" t="str">
        <f t="shared" si="5"/>
        <v>Valid</v>
      </c>
    </row>
    <row r="9" spans="1:31" x14ac:dyDescent="0.3">
      <c r="A9" s="2" t="s">
        <v>51</v>
      </c>
      <c r="B9" s="2" t="s">
        <v>56</v>
      </c>
      <c r="C9" s="2" t="s">
        <v>53</v>
      </c>
      <c r="D9" s="2" t="s">
        <v>26</v>
      </c>
      <c r="E9" s="2" t="s">
        <v>53</v>
      </c>
      <c r="F9" s="2" t="s">
        <v>53</v>
      </c>
      <c r="G9" s="5" t="str" cm="1">
        <f t="array" ref="G9">IFERROR(INDEX(City_Lookup!$B$2:$B$297,MATCH(TRUE,ISNUMBER(SEARCH(City_Lookup!$A$2:$A$297,$F9&amp;" "&amp;$E9)),0)),"Not Available")</f>
        <v>Dolakha</v>
      </c>
      <c r="H9" s="5" t="str">
        <f>IFERROR(INDEX(City_Lookup!$E$2:$E$66,MATCH($G9,City_Lookup!$D$2:$D$66,0)),"Not Available")</f>
        <v>Bagmati</v>
      </c>
      <c r="I9" s="2" t="s">
        <v>28</v>
      </c>
      <c r="J9" s="2" t="s">
        <v>39</v>
      </c>
      <c r="K9" s="2"/>
      <c r="L9" s="2" t="s">
        <v>40</v>
      </c>
      <c r="M9" s="2" t="s">
        <v>40</v>
      </c>
      <c r="N9" s="2" t="s">
        <v>31</v>
      </c>
      <c r="O9" s="2">
        <v>2</v>
      </c>
      <c r="P9" s="2" t="s">
        <v>27</v>
      </c>
      <c r="Q9" s="2" t="s">
        <v>55</v>
      </c>
      <c r="R9" s="2" t="s">
        <v>33</v>
      </c>
      <c r="S9" s="2" t="s">
        <v>27</v>
      </c>
      <c r="T9" s="2" t="s">
        <v>34</v>
      </c>
      <c r="U9" s="2" t="s">
        <v>35</v>
      </c>
      <c r="V9" s="2" t="s">
        <v>36</v>
      </c>
      <c r="W9" s="2" t="s">
        <v>37</v>
      </c>
      <c r="X9" s="4" t="s">
        <v>2486</v>
      </c>
      <c r="Y9" s="4" t="s">
        <v>2500</v>
      </c>
      <c r="Z9" t="str">
        <f t="shared" si="0"/>
        <v>97714153051</v>
      </c>
      <c r="AA9" t="str">
        <f t="shared" si="1"/>
        <v>14153051</v>
      </c>
      <c r="AB9" t="str">
        <f t="shared" si="2"/>
        <v>14153051</v>
      </c>
      <c r="AC9" t="str">
        <f t="shared" si="3"/>
        <v>+97714153051</v>
      </c>
      <c r="AD9" t="str">
        <f t="shared" si="4"/>
        <v>Landline</v>
      </c>
      <c r="AE9" t="str">
        <f t="shared" si="5"/>
        <v>Valid</v>
      </c>
    </row>
    <row r="10" spans="1:31" x14ac:dyDescent="0.3">
      <c r="A10" s="2" t="s">
        <v>57</v>
      </c>
      <c r="B10" s="2" t="s">
        <v>58</v>
      </c>
      <c r="C10" s="2" t="s">
        <v>59</v>
      </c>
      <c r="D10" s="2" t="s">
        <v>26</v>
      </c>
      <c r="E10" s="2" t="s">
        <v>59</v>
      </c>
      <c r="F10" s="2" t="s">
        <v>59</v>
      </c>
      <c r="G10" s="5" t="str" cm="1">
        <f t="array" ref="G10">IFERROR(INDEX(City_Lookup!$B$2:$B$297,MATCH(TRUE,ISNUMBER(SEARCH(City_Lookup!$A$2:$A$297,$F10&amp;" "&amp;$E10)),0)),"Not Available")</f>
        <v>Kavre</v>
      </c>
      <c r="H10" s="5" t="str">
        <f>IFERROR(INDEX(City_Lookup!$E$2:$E$66,MATCH($G10,City_Lookup!$D$2:$D$66,0)),"Not Available")</f>
        <v>Bagmati</v>
      </c>
      <c r="I10" s="2" t="s">
        <v>28</v>
      </c>
      <c r="J10" s="2" t="s">
        <v>29</v>
      </c>
      <c r="K10" s="2" t="s">
        <v>30</v>
      </c>
      <c r="L10" s="2"/>
      <c r="M10" s="2" t="s">
        <v>30</v>
      </c>
      <c r="N10" s="2" t="s">
        <v>31</v>
      </c>
      <c r="O10" s="2">
        <v>2</v>
      </c>
      <c r="P10" s="2" t="s">
        <v>27</v>
      </c>
      <c r="Q10" s="2" t="s">
        <v>60</v>
      </c>
      <c r="R10" s="2" t="s">
        <v>33</v>
      </c>
      <c r="S10" s="2" t="s">
        <v>27</v>
      </c>
      <c r="T10" s="2" t="s">
        <v>34</v>
      </c>
      <c r="U10" s="2" t="s">
        <v>35</v>
      </c>
      <c r="V10" s="2" t="s">
        <v>36</v>
      </c>
      <c r="W10" s="2" t="s">
        <v>37</v>
      </c>
      <c r="X10" s="4" t="s">
        <v>2486</v>
      </c>
      <c r="Y10" s="4" t="s">
        <v>2500</v>
      </c>
      <c r="Z10" t="str">
        <f t="shared" si="0"/>
        <v>97714153051</v>
      </c>
      <c r="AA10" t="str">
        <f t="shared" si="1"/>
        <v>14153051</v>
      </c>
      <c r="AB10" t="str">
        <f t="shared" si="2"/>
        <v>14153051</v>
      </c>
      <c r="AC10" t="str">
        <f t="shared" si="3"/>
        <v>+97714153051</v>
      </c>
      <c r="AD10" t="str">
        <f t="shared" si="4"/>
        <v>Landline</v>
      </c>
      <c r="AE10" t="str">
        <f t="shared" si="5"/>
        <v>Valid</v>
      </c>
    </row>
    <row r="11" spans="1:31" x14ac:dyDescent="0.3">
      <c r="A11" s="2" t="s">
        <v>57</v>
      </c>
      <c r="B11" s="2" t="s">
        <v>61</v>
      </c>
      <c r="C11" s="2" t="s">
        <v>59</v>
      </c>
      <c r="D11" s="2" t="s">
        <v>26</v>
      </c>
      <c r="E11" s="2" t="s">
        <v>59</v>
      </c>
      <c r="F11" s="2" t="s">
        <v>59</v>
      </c>
      <c r="G11" s="5" t="str" cm="1">
        <f t="array" ref="G11">IFERROR(INDEX(City_Lookup!$B$2:$B$297,MATCH(TRUE,ISNUMBER(SEARCH(City_Lookup!$A$2:$A$297,$F11&amp;" "&amp;$E11)),0)),"Not Available")</f>
        <v>Kavre</v>
      </c>
      <c r="H11" s="5" t="str">
        <f>IFERROR(INDEX(City_Lookup!$E$2:$E$66,MATCH($G11,City_Lookup!$D$2:$D$66,0)),"Not Available")</f>
        <v>Bagmati</v>
      </c>
      <c r="I11" s="2" t="s">
        <v>28</v>
      </c>
      <c r="J11" s="2" t="s">
        <v>39</v>
      </c>
      <c r="K11" s="2"/>
      <c r="L11" s="2" t="s">
        <v>40</v>
      </c>
      <c r="M11" s="2" t="s">
        <v>40</v>
      </c>
      <c r="N11" s="2" t="s">
        <v>31</v>
      </c>
      <c r="O11" s="2">
        <v>2</v>
      </c>
      <c r="P11" s="2" t="s">
        <v>27</v>
      </c>
      <c r="Q11" s="2" t="s">
        <v>60</v>
      </c>
      <c r="R11" s="2" t="s">
        <v>33</v>
      </c>
      <c r="S11" s="2" t="s">
        <v>27</v>
      </c>
      <c r="T11" s="2" t="s">
        <v>34</v>
      </c>
      <c r="U11" s="2" t="s">
        <v>35</v>
      </c>
      <c r="V11" s="2" t="s">
        <v>36</v>
      </c>
      <c r="W11" s="2" t="s">
        <v>37</v>
      </c>
      <c r="X11" s="4" t="s">
        <v>2486</v>
      </c>
      <c r="Y11" s="4" t="s">
        <v>2500</v>
      </c>
      <c r="Z11" t="str">
        <f t="shared" si="0"/>
        <v>97714153051</v>
      </c>
      <c r="AA11" t="str">
        <f t="shared" si="1"/>
        <v>14153051</v>
      </c>
      <c r="AB11" t="str">
        <f t="shared" si="2"/>
        <v>14153051</v>
      </c>
      <c r="AC11" t="str">
        <f t="shared" si="3"/>
        <v>+97714153051</v>
      </c>
      <c r="AD11" t="str">
        <f t="shared" si="4"/>
        <v>Landline</v>
      </c>
      <c r="AE11" t="str">
        <f t="shared" si="5"/>
        <v>Valid</v>
      </c>
    </row>
    <row r="12" spans="1:31" x14ac:dyDescent="0.3">
      <c r="A12" s="2" t="s">
        <v>62</v>
      </c>
      <c r="B12" s="2" t="s">
        <v>63</v>
      </c>
      <c r="C12" s="2" t="s">
        <v>64</v>
      </c>
      <c r="D12" s="2" t="s">
        <v>26</v>
      </c>
      <c r="E12" s="2" t="s">
        <v>64</v>
      </c>
      <c r="F12" s="2" t="s">
        <v>64</v>
      </c>
      <c r="G12" s="5" t="str" cm="1">
        <f t="array" ref="G12">IFERROR(INDEX(City_Lookup!$B$2:$B$297,MATCH(TRUE,ISNUMBER(SEARCH(City_Lookup!$A$2:$A$297,$F12&amp;" "&amp;$E12)),0)),"Not Available")</f>
        <v>Dhading</v>
      </c>
      <c r="H12" s="5" t="str">
        <f>IFERROR(INDEX(City_Lookup!$E$2:$E$66,MATCH($G12,City_Lookup!$D$2:$D$66,0)),"Not Available")</f>
        <v>Bagmati</v>
      </c>
      <c r="I12" s="2" t="s">
        <v>28</v>
      </c>
      <c r="J12" s="2" t="s">
        <v>29</v>
      </c>
      <c r="K12" s="2" t="s">
        <v>30</v>
      </c>
      <c r="L12" s="2"/>
      <c r="M12" s="2" t="s">
        <v>30</v>
      </c>
      <c r="N12" s="2" t="s">
        <v>31</v>
      </c>
      <c r="O12" s="2">
        <v>2</v>
      </c>
      <c r="P12" s="2" t="s">
        <v>27</v>
      </c>
      <c r="Q12" s="2" t="s">
        <v>65</v>
      </c>
      <c r="R12" s="2" t="s">
        <v>33</v>
      </c>
      <c r="S12" s="2" t="s">
        <v>27</v>
      </c>
      <c r="T12" s="2" t="s">
        <v>34</v>
      </c>
      <c r="U12" s="2" t="s">
        <v>35</v>
      </c>
      <c r="V12" s="2" t="s">
        <v>36</v>
      </c>
      <c r="W12" s="2" t="s">
        <v>37</v>
      </c>
      <c r="X12" s="4" t="s">
        <v>2486</v>
      </c>
      <c r="Y12" s="4" t="s">
        <v>2500</v>
      </c>
      <c r="Z12" t="str">
        <f t="shared" si="0"/>
        <v>97714153051</v>
      </c>
      <c r="AA12" t="str">
        <f t="shared" si="1"/>
        <v>14153051</v>
      </c>
      <c r="AB12" t="str">
        <f t="shared" si="2"/>
        <v>14153051</v>
      </c>
      <c r="AC12" t="str">
        <f t="shared" si="3"/>
        <v>+97714153051</v>
      </c>
      <c r="AD12" t="str">
        <f t="shared" si="4"/>
        <v>Landline</v>
      </c>
      <c r="AE12" t="str">
        <f t="shared" si="5"/>
        <v>Valid</v>
      </c>
    </row>
    <row r="13" spans="1:31" x14ac:dyDescent="0.3">
      <c r="A13" s="2" t="s">
        <v>62</v>
      </c>
      <c r="B13" s="2" t="s">
        <v>66</v>
      </c>
      <c r="C13" s="2" t="s">
        <v>64</v>
      </c>
      <c r="D13" s="2" t="s">
        <v>26</v>
      </c>
      <c r="E13" s="2" t="s">
        <v>64</v>
      </c>
      <c r="F13" s="2" t="s">
        <v>64</v>
      </c>
      <c r="G13" s="5" t="str" cm="1">
        <f t="array" ref="G13">IFERROR(INDEX(City_Lookup!$B$2:$B$297,MATCH(TRUE,ISNUMBER(SEARCH(City_Lookup!$A$2:$A$297,$F13&amp;" "&amp;$E13)),0)),"Not Available")</f>
        <v>Dhading</v>
      </c>
      <c r="H13" s="5" t="str">
        <f>IFERROR(INDEX(City_Lookup!$E$2:$E$66,MATCH($G13,City_Lookup!$D$2:$D$66,0)),"Not Available")</f>
        <v>Bagmati</v>
      </c>
      <c r="I13" s="2" t="s">
        <v>28</v>
      </c>
      <c r="J13" s="2" t="s">
        <v>39</v>
      </c>
      <c r="K13" s="2"/>
      <c r="L13" s="2" t="s">
        <v>40</v>
      </c>
      <c r="M13" s="2" t="s">
        <v>40</v>
      </c>
      <c r="N13" s="2" t="s">
        <v>31</v>
      </c>
      <c r="O13" s="2">
        <v>2</v>
      </c>
      <c r="P13" s="2" t="s">
        <v>27</v>
      </c>
      <c r="Q13" s="2" t="s">
        <v>65</v>
      </c>
      <c r="R13" s="2" t="s">
        <v>33</v>
      </c>
      <c r="S13" s="2" t="s">
        <v>27</v>
      </c>
      <c r="T13" s="2" t="s">
        <v>34</v>
      </c>
      <c r="U13" s="2" t="s">
        <v>35</v>
      </c>
      <c r="V13" s="2" t="s">
        <v>36</v>
      </c>
      <c r="W13" s="2" t="s">
        <v>37</v>
      </c>
      <c r="X13" s="4" t="s">
        <v>2486</v>
      </c>
      <c r="Y13" s="4" t="s">
        <v>2500</v>
      </c>
      <c r="Z13" t="str">
        <f t="shared" si="0"/>
        <v>97714153051</v>
      </c>
      <c r="AA13" t="str">
        <f t="shared" si="1"/>
        <v>14153051</v>
      </c>
      <c r="AB13" t="str">
        <f t="shared" si="2"/>
        <v>14153051</v>
      </c>
      <c r="AC13" t="str">
        <f t="shared" si="3"/>
        <v>+97714153051</v>
      </c>
      <c r="AD13" t="str">
        <f t="shared" si="4"/>
        <v>Landline</v>
      </c>
      <c r="AE13" t="str">
        <f t="shared" si="5"/>
        <v>Valid</v>
      </c>
    </row>
    <row r="14" spans="1:31" x14ac:dyDescent="0.3">
      <c r="A14" s="2" t="s">
        <v>67</v>
      </c>
      <c r="B14" s="2" t="s">
        <v>68</v>
      </c>
      <c r="C14" s="2" t="s">
        <v>69</v>
      </c>
      <c r="D14" s="2" t="s">
        <v>26</v>
      </c>
      <c r="E14" s="2" t="s">
        <v>69</v>
      </c>
      <c r="F14" s="2" t="s">
        <v>69</v>
      </c>
      <c r="G14" s="5" t="str" cm="1">
        <f t="array" ref="G14">IFERROR(INDEX(City_Lookup!$B$2:$B$297,MATCH(TRUE,ISNUMBER(SEARCH(City_Lookup!$A$2:$A$297,$F14&amp;" "&amp;$E14)),0)),"Not Available")</f>
        <v>Chitwan</v>
      </c>
      <c r="H14" s="5" t="str">
        <f>IFERROR(INDEX(City_Lookup!$E$2:$E$66,MATCH($G14,City_Lookup!$D$2:$D$66,0)),"Not Available")</f>
        <v>Bagmati</v>
      </c>
      <c r="I14" s="2" t="s">
        <v>28</v>
      </c>
      <c r="J14" s="2" t="s">
        <v>29</v>
      </c>
      <c r="K14" s="2" t="s">
        <v>30</v>
      </c>
      <c r="L14" s="2"/>
      <c r="M14" s="2" t="s">
        <v>30</v>
      </c>
      <c r="N14" s="2" t="s">
        <v>31</v>
      </c>
      <c r="O14" s="2">
        <v>2</v>
      </c>
      <c r="P14" s="2" t="s">
        <v>27</v>
      </c>
      <c r="Q14" s="2" t="s">
        <v>70</v>
      </c>
      <c r="R14" s="2" t="s">
        <v>33</v>
      </c>
      <c r="S14" s="2" t="s">
        <v>27</v>
      </c>
      <c r="T14" s="2" t="s">
        <v>34</v>
      </c>
      <c r="U14" s="2" t="s">
        <v>35</v>
      </c>
      <c r="V14" s="2" t="s">
        <v>36</v>
      </c>
      <c r="W14" s="2" t="s">
        <v>37</v>
      </c>
      <c r="X14" s="4" t="s">
        <v>2486</v>
      </c>
      <c r="Y14" s="4" t="s">
        <v>2500</v>
      </c>
      <c r="Z14" t="str">
        <f t="shared" si="0"/>
        <v>97714153051</v>
      </c>
      <c r="AA14" t="str">
        <f t="shared" si="1"/>
        <v>14153051</v>
      </c>
      <c r="AB14" t="str">
        <f t="shared" si="2"/>
        <v>14153051</v>
      </c>
      <c r="AC14" t="str">
        <f t="shared" si="3"/>
        <v>+97714153051</v>
      </c>
      <c r="AD14" t="str">
        <f t="shared" si="4"/>
        <v>Landline</v>
      </c>
      <c r="AE14" t="str">
        <f t="shared" si="5"/>
        <v>Valid</v>
      </c>
    </row>
    <row r="15" spans="1:31" x14ac:dyDescent="0.3">
      <c r="A15" s="2" t="s">
        <v>67</v>
      </c>
      <c r="B15" s="2" t="s">
        <v>71</v>
      </c>
      <c r="C15" s="2" t="s">
        <v>69</v>
      </c>
      <c r="D15" s="2" t="s">
        <v>26</v>
      </c>
      <c r="E15" s="2" t="s">
        <v>69</v>
      </c>
      <c r="F15" s="2" t="s">
        <v>69</v>
      </c>
      <c r="G15" s="5" t="str" cm="1">
        <f t="array" ref="G15">IFERROR(INDEX(City_Lookup!$B$2:$B$297,MATCH(TRUE,ISNUMBER(SEARCH(City_Lookup!$A$2:$A$297,$F15&amp;" "&amp;$E15)),0)),"Not Available")</f>
        <v>Chitwan</v>
      </c>
      <c r="H15" s="5" t="str">
        <f>IFERROR(INDEX(City_Lookup!$E$2:$E$66,MATCH($G15,City_Lookup!$D$2:$D$66,0)),"Not Available")</f>
        <v>Bagmati</v>
      </c>
      <c r="I15" s="2" t="s">
        <v>28</v>
      </c>
      <c r="J15" s="2" t="s">
        <v>39</v>
      </c>
      <c r="K15" s="2"/>
      <c r="L15" s="2" t="s">
        <v>40</v>
      </c>
      <c r="M15" s="2" t="s">
        <v>40</v>
      </c>
      <c r="N15" s="2" t="s">
        <v>31</v>
      </c>
      <c r="O15" s="2">
        <v>2</v>
      </c>
      <c r="P15" s="2" t="s">
        <v>27</v>
      </c>
      <c r="Q15" s="2" t="s">
        <v>70</v>
      </c>
      <c r="R15" s="2" t="s">
        <v>33</v>
      </c>
      <c r="S15" s="2" t="s">
        <v>27</v>
      </c>
      <c r="T15" s="2" t="s">
        <v>34</v>
      </c>
      <c r="U15" s="2" t="s">
        <v>35</v>
      </c>
      <c r="V15" s="2" t="s">
        <v>36</v>
      </c>
      <c r="W15" s="2" t="s">
        <v>37</v>
      </c>
      <c r="X15" s="4" t="s">
        <v>2486</v>
      </c>
      <c r="Y15" s="4" t="s">
        <v>2500</v>
      </c>
      <c r="Z15" t="str">
        <f t="shared" si="0"/>
        <v>97714153051</v>
      </c>
      <c r="AA15" t="str">
        <f t="shared" si="1"/>
        <v>14153051</v>
      </c>
      <c r="AB15" t="str">
        <f t="shared" si="2"/>
        <v>14153051</v>
      </c>
      <c r="AC15" t="str">
        <f t="shared" si="3"/>
        <v>+97714153051</v>
      </c>
      <c r="AD15" t="str">
        <f t="shared" si="4"/>
        <v>Landline</v>
      </c>
      <c r="AE15" t="str">
        <f t="shared" si="5"/>
        <v>Valid</v>
      </c>
    </row>
    <row r="16" spans="1:31" x14ac:dyDescent="0.3">
      <c r="A16" s="2" t="s">
        <v>72</v>
      </c>
      <c r="B16" s="2" t="s">
        <v>73</v>
      </c>
      <c r="C16" s="2" t="s">
        <v>74</v>
      </c>
      <c r="D16" s="2" t="s">
        <v>26</v>
      </c>
      <c r="E16" s="2" t="s">
        <v>74</v>
      </c>
      <c r="F16" s="2" t="s">
        <v>74</v>
      </c>
      <c r="G16" s="5" t="str" cm="1">
        <f t="array" ref="G16">IFERROR(INDEX(City_Lookup!$B$2:$B$297,MATCH(TRUE,ISNUMBER(SEARCH(City_Lookup!$A$2:$A$297,$F16&amp;" "&amp;$E16)),0)),"Not Available")</f>
        <v>Chitwan</v>
      </c>
      <c r="H16" s="5" t="str">
        <f>IFERROR(INDEX(City_Lookup!$E$2:$E$66,MATCH($G16,City_Lookup!$D$2:$D$66,0)),"Not Available")</f>
        <v>Bagmati</v>
      </c>
      <c r="I16" s="2" t="s">
        <v>28</v>
      </c>
      <c r="J16" s="2" t="s">
        <v>29</v>
      </c>
      <c r="K16" s="2" t="s">
        <v>30</v>
      </c>
      <c r="L16" s="2"/>
      <c r="M16" s="2" t="s">
        <v>30</v>
      </c>
      <c r="N16" s="2" t="s">
        <v>31</v>
      </c>
      <c r="O16" s="2">
        <v>2</v>
      </c>
      <c r="P16" s="2" t="s">
        <v>27</v>
      </c>
      <c r="Q16" s="2" t="s">
        <v>76</v>
      </c>
      <c r="R16" s="2" t="s">
        <v>33</v>
      </c>
      <c r="S16" s="2" t="s">
        <v>27</v>
      </c>
      <c r="T16" s="2" t="s">
        <v>34</v>
      </c>
      <c r="U16" s="2" t="s">
        <v>35</v>
      </c>
      <c r="V16" s="2" t="s">
        <v>36</v>
      </c>
      <c r="W16" s="2" t="s">
        <v>37</v>
      </c>
      <c r="X16" s="4" t="s">
        <v>2486</v>
      </c>
      <c r="Y16" s="4" t="s">
        <v>2500</v>
      </c>
      <c r="Z16" t="str">
        <f t="shared" si="0"/>
        <v>97714153051</v>
      </c>
      <c r="AA16" t="str">
        <f t="shared" si="1"/>
        <v>14153051</v>
      </c>
      <c r="AB16" t="str">
        <f t="shared" si="2"/>
        <v>14153051</v>
      </c>
      <c r="AC16" t="str">
        <f t="shared" si="3"/>
        <v>+97714153051</v>
      </c>
      <c r="AD16" t="str">
        <f t="shared" si="4"/>
        <v>Landline</v>
      </c>
      <c r="AE16" t="str">
        <f t="shared" si="5"/>
        <v>Valid</v>
      </c>
    </row>
    <row r="17" spans="1:31" x14ac:dyDescent="0.3">
      <c r="A17" s="2" t="s">
        <v>72</v>
      </c>
      <c r="B17" s="2" t="s">
        <v>77</v>
      </c>
      <c r="C17" s="2" t="s">
        <v>74</v>
      </c>
      <c r="D17" s="2" t="s">
        <v>26</v>
      </c>
      <c r="E17" s="2" t="s">
        <v>74</v>
      </c>
      <c r="F17" s="2" t="s">
        <v>74</v>
      </c>
      <c r="G17" s="5" t="str" cm="1">
        <f t="array" ref="G17">IFERROR(INDEX(City_Lookup!$B$2:$B$297,MATCH(TRUE,ISNUMBER(SEARCH(City_Lookup!$A$2:$A$297,$F17&amp;" "&amp;$E17)),0)),"Not Available")</f>
        <v>Chitwan</v>
      </c>
      <c r="H17" s="5" t="str">
        <f>IFERROR(INDEX(City_Lookup!$E$2:$E$66,MATCH($G17,City_Lookup!$D$2:$D$66,0)),"Not Available")</f>
        <v>Bagmati</v>
      </c>
      <c r="I17" s="2" t="s">
        <v>28</v>
      </c>
      <c r="J17" s="2" t="s">
        <v>39</v>
      </c>
      <c r="K17" s="2"/>
      <c r="L17" s="2" t="s">
        <v>40</v>
      </c>
      <c r="M17" s="2" t="s">
        <v>40</v>
      </c>
      <c r="N17" s="2" t="s">
        <v>31</v>
      </c>
      <c r="O17" s="2">
        <v>2</v>
      </c>
      <c r="P17" s="2" t="s">
        <v>27</v>
      </c>
      <c r="Q17" s="2" t="s">
        <v>76</v>
      </c>
      <c r="R17" s="2" t="s">
        <v>33</v>
      </c>
      <c r="S17" s="2" t="s">
        <v>27</v>
      </c>
      <c r="T17" s="2" t="s">
        <v>34</v>
      </c>
      <c r="U17" s="2" t="s">
        <v>35</v>
      </c>
      <c r="V17" s="2" t="s">
        <v>36</v>
      </c>
      <c r="W17" s="2" t="s">
        <v>37</v>
      </c>
      <c r="X17" s="4" t="s">
        <v>2486</v>
      </c>
      <c r="Y17" s="4" t="s">
        <v>2500</v>
      </c>
      <c r="Z17" t="str">
        <f t="shared" si="0"/>
        <v>97714153051</v>
      </c>
      <c r="AA17" t="str">
        <f t="shared" si="1"/>
        <v>14153051</v>
      </c>
      <c r="AB17" t="str">
        <f t="shared" si="2"/>
        <v>14153051</v>
      </c>
      <c r="AC17" t="str">
        <f t="shared" si="3"/>
        <v>+97714153051</v>
      </c>
      <c r="AD17" t="str">
        <f t="shared" si="4"/>
        <v>Landline</v>
      </c>
      <c r="AE17" t="str">
        <f t="shared" si="5"/>
        <v>Valid</v>
      </c>
    </row>
    <row r="18" spans="1:31" x14ac:dyDescent="0.3">
      <c r="A18" s="2" t="s">
        <v>78</v>
      </c>
      <c r="B18" s="2" t="s">
        <v>79</v>
      </c>
      <c r="C18" s="2" t="s">
        <v>80</v>
      </c>
      <c r="D18" s="2" t="s">
        <v>26</v>
      </c>
      <c r="E18" s="2" t="s">
        <v>80</v>
      </c>
      <c r="F18" s="2" t="s">
        <v>80</v>
      </c>
      <c r="G18" s="5" t="str" cm="1">
        <f t="array" ref="G18">IFERROR(INDEX(City_Lookup!$B$2:$B$297,MATCH(TRUE,ISNUMBER(SEARCH(City_Lookup!$A$2:$A$297,$F18&amp;" "&amp;$E18)),0)),"Not Available")</f>
        <v>Sindhuli</v>
      </c>
      <c r="H18" s="5" t="str">
        <f>IFERROR(INDEX(City_Lookup!$E$2:$E$66,MATCH($G18,City_Lookup!$D$2:$D$66,0)),"Not Available")</f>
        <v>Bagmati</v>
      </c>
      <c r="I18" s="2" t="s">
        <v>28</v>
      </c>
      <c r="J18" s="2" t="s">
        <v>29</v>
      </c>
      <c r="K18" s="2" t="s">
        <v>30</v>
      </c>
      <c r="L18" s="2"/>
      <c r="M18" s="2" t="s">
        <v>30</v>
      </c>
      <c r="N18" s="2" t="s">
        <v>31</v>
      </c>
      <c r="O18" s="2">
        <v>2</v>
      </c>
      <c r="P18" s="2" t="s">
        <v>27</v>
      </c>
      <c r="Q18" s="2" t="s">
        <v>83</v>
      </c>
      <c r="R18" s="2" t="s">
        <v>33</v>
      </c>
      <c r="S18" s="2" t="s">
        <v>27</v>
      </c>
      <c r="T18" s="2" t="s">
        <v>34</v>
      </c>
      <c r="U18" s="2" t="s">
        <v>35</v>
      </c>
      <c r="V18" s="2" t="s">
        <v>36</v>
      </c>
      <c r="W18" s="2" t="s">
        <v>37</v>
      </c>
      <c r="X18" s="4" t="s">
        <v>2486</v>
      </c>
      <c r="Y18" s="4" t="s">
        <v>2500</v>
      </c>
      <c r="Z18" t="str">
        <f t="shared" si="0"/>
        <v>97714153051</v>
      </c>
      <c r="AA18" t="str">
        <f t="shared" si="1"/>
        <v>14153051</v>
      </c>
      <c r="AB18" t="str">
        <f t="shared" si="2"/>
        <v>14153051</v>
      </c>
      <c r="AC18" t="str">
        <f t="shared" si="3"/>
        <v>+97714153051</v>
      </c>
      <c r="AD18" t="str">
        <f t="shared" si="4"/>
        <v>Landline</v>
      </c>
      <c r="AE18" t="str">
        <f t="shared" si="5"/>
        <v>Valid</v>
      </c>
    </row>
    <row r="19" spans="1:31" x14ac:dyDescent="0.3">
      <c r="A19" s="2" t="s">
        <v>78</v>
      </c>
      <c r="B19" s="2" t="s">
        <v>84</v>
      </c>
      <c r="C19" s="2" t="s">
        <v>80</v>
      </c>
      <c r="D19" s="2" t="s">
        <v>26</v>
      </c>
      <c r="E19" s="2" t="s">
        <v>80</v>
      </c>
      <c r="F19" s="2" t="s">
        <v>80</v>
      </c>
      <c r="G19" s="5" t="str" cm="1">
        <f t="array" ref="G19">IFERROR(INDEX(City_Lookup!$B$2:$B$297,MATCH(TRUE,ISNUMBER(SEARCH(City_Lookup!$A$2:$A$297,$F19&amp;" "&amp;$E19)),0)),"Not Available")</f>
        <v>Sindhuli</v>
      </c>
      <c r="H19" s="5" t="str">
        <f>IFERROR(INDEX(City_Lookup!$E$2:$E$66,MATCH($G19,City_Lookup!$D$2:$D$66,0)),"Not Available")</f>
        <v>Bagmati</v>
      </c>
      <c r="I19" s="2" t="s">
        <v>28</v>
      </c>
      <c r="J19" s="2" t="s">
        <v>39</v>
      </c>
      <c r="K19" s="2"/>
      <c r="L19" s="2" t="s">
        <v>40</v>
      </c>
      <c r="M19" s="2" t="s">
        <v>40</v>
      </c>
      <c r="N19" s="2" t="s">
        <v>31</v>
      </c>
      <c r="O19" s="2">
        <v>2</v>
      </c>
      <c r="P19" s="2" t="s">
        <v>27</v>
      </c>
      <c r="Q19" s="2" t="s">
        <v>83</v>
      </c>
      <c r="R19" s="2" t="s">
        <v>33</v>
      </c>
      <c r="S19" s="2" t="s">
        <v>27</v>
      </c>
      <c r="T19" s="2" t="s">
        <v>34</v>
      </c>
      <c r="U19" s="2" t="s">
        <v>35</v>
      </c>
      <c r="V19" s="2" t="s">
        <v>36</v>
      </c>
      <c r="W19" s="2" t="s">
        <v>37</v>
      </c>
      <c r="X19" s="4" t="s">
        <v>2486</v>
      </c>
      <c r="Y19" s="4" t="s">
        <v>2500</v>
      </c>
      <c r="Z19" t="str">
        <f t="shared" si="0"/>
        <v>97714153051</v>
      </c>
      <c r="AA19" t="str">
        <f t="shared" si="1"/>
        <v>14153051</v>
      </c>
      <c r="AB19" t="str">
        <f t="shared" si="2"/>
        <v>14153051</v>
      </c>
      <c r="AC19" t="str">
        <f t="shared" si="3"/>
        <v>+97714153051</v>
      </c>
      <c r="AD19" t="str">
        <f t="shared" si="4"/>
        <v>Landline</v>
      </c>
      <c r="AE19" t="str">
        <f t="shared" si="5"/>
        <v>Valid</v>
      </c>
    </row>
    <row r="20" spans="1:31" x14ac:dyDescent="0.3">
      <c r="A20" s="2" t="s">
        <v>85</v>
      </c>
      <c r="B20" s="2" t="s">
        <v>86</v>
      </c>
      <c r="C20" s="2" t="s">
        <v>87</v>
      </c>
      <c r="D20" s="2" t="s">
        <v>26</v>
      </c>
      <c r="E20" s="2" t="s">
        <v>87</v>
      </c>
      <c r="F20" s="2" t="s">
        <v>87</v>
      </c>
      <c r="G20" s="5" t="str" cm="1">
        <f t="array" ref="G20">IFERROR(INDEX(City_Lookup!$B$2:$B$297,MATCH(TRUE,ISNUMBER(SEARCH(City_Lookup!$A$2:$A$297,$F20&amp;" "&amp;$E20)),0)),"Not Available")</f>
        <v>Sindhuli</v>
      </c>
      <c r="H20" s="5" t="str">
        <f>IFERROR(INDEX(City_Lookup!$E$2:$E$66,MATCH($G20,City_Lookup!$D$2:$D$66,0)),"Not Available")</f>
        <v>Bagmati</v>
      </c>
      <c r="I20" s="2" t="s">
        <v>28</v>
      </c>
      <c r="J20" s="2" t="s">
        <v>29</v>
      </c>
      <c r="K20" s="2" t="s">
        <v>30</v>
      </c>
      <c r="L20" s="2"/>
      <c r="M20" s="2" t="s">
        <v>30</v>
      </c>
      <c r="N20" s="2" t="s">
        <v>31</v>
      </c>
      <c r="O20" s="2">
        <v>2</v>
      </c>
      <c r="P20" s="2" t="s">
        <v>27</v>
      </c>
      <c r="Q20" s="2" t="s">
        <v>88</v>
      </c>
      <c r="R20" s="2" t="s">
        <v>33</v>
      </c>
      <c r="S20" s="2" t="s">
        <v>27</v>
      </c>
      <c r="T20" s="2" t="s">
        <v>34</v>
      </c>
      <c r="U20" s="2" t="s">
        <v>35</v>
      </c>
      <c r="V20" s="2" t="s">
        <v>36</v>
      </c>
      <c r="W20" s="2" t="s">
        <v>37</v>
      </c>
      <c r="X20" s="4" t="s">
        <v>2486</v>
      </c>
      <c r="Y20" s="4" t="s">
        <v>2500</v>
      </c>
      <c r="Z20" t="str">
        <f t="shared" si="0"/>
        <v>97714153051</v>
      </c>
      <c r="AA20" t="str">
        <f t="shared" si="1"/>
        <v>14153051</v>
      </c>
      <c r="AB20" t="str">
        <f t="shared" si="2"/>
        <v>14153051</v>
      </c>
      <c r="AC20" t="str">
        <f t="shared" si="3"/>
        <v>+97714153051</v>
      </c>
      <c r="AD20" t="str">
        <f t="shared" si="4"/>
        <v>Landline</v>
      </c>
      <c r="AE20" t="str">
        <f t="shared" si="5"/>
        <v>Valid</v>
      </c>
    </row>
    <row r="21" spans="1:31" x14ac:dyDescent="0.3">
      <c r="A21" s="2" t="s">
        <v>85</v>
      </c>
      <c r="B21" s="2" t="s">
        <v>89</v>
      </c>
      <c r="C21" s="2" t="s">
        <v>87</v>
      </c>
      <c r="D21" s="2" t="s">
        <v>26</v>
      </c>
      <c r="E21" s="2" t="s">
        <v>87</v>
      </c>
      <c r="F21" s="2" t="s">
        <v>87</v>
      </c>
      <c r="G21" s="5" t="str" cm="1">
        <f t="array" ref="G21">IFERROR(INDEX(City_Lookup!$B$2:$B$297,MATCH(TRUE,ISNUMBER(SEARCH(City_Lookup!$A$2:$A$297,$F21&amp;" "&amp;$E21)),0)),"Not Available")</f>
        <v>Sindhuli</v>
      </c>
      <c r="H21" s="5" t="str">
        <f>IFERROR(INDEX(City_Lookup!$E$2:$E$66,MATCH($G21,City_Lookup!$D$2:$D$66,0)),"Not Available")</f>
        <v>Bagmati</v>
      </c>
      <c r="I21" s="2" t="s">
        <v>28</v>
      </c>
      <c r="J21" s="2" t="s">
        <v>39</v>
      </c>
      <c r="K21" s="2"/>
      <c r="L21" s="2" t="s">
        <v>40</v>
      </c>
      <c r="M21" s="2" t="s">
        <v>40</v>
      </c>
      <c r="N21" s="2" t="s">
        <v>31</v>
      </c>
      <c r="O21" s="2">
        <v>2</v>
      </c>
      <c r="P21" s="2" t="s">
        <v>27</v>
      </c>
      <c r="Q21" s="2" t="s">
        <v>88</v>
      </c>
      <c r="R21" s="2" t="s">
        <v>33</v>
      </c>
      <c r="S21" s="2" t="s">
        <v>27</v>
      </c>
      <c r="T21" s="2" t="s">
        <v>34</v>
      </c>
      <c r="U21" s="2" t="s">
        <v>35</v>
      </c>
      <c r="V21" s="2" t="s">
        <v>36</v>
      </c>
      <c r="W21" s="2" t="s">
        <v>37</v>
      </c>
      <c r="X21" s="4" t="s">
        <v>2486</v>
      </c>
      <c r="Y21" s="4" t="s">
        <v>2500</v>
      </c>
      <c r="Z21" t="str">
        <f t="shared" si="0"/>
        <v>97714153051</v>
      </c>
      <c r="AA21" t="str">
        <f t="shared" si="1"/>
        <v>14153051</v>
      </c>
      <c r="AB21" t="str">
        <f t="shared" si="2"/>
        <v>14153051</v>
      </c>
      <c r="AC21" t="str">
        <f t="shared" si="3"/>
        <v>+97714153051</v>
      </c>
      <c r="AD21" t="str">
        <f t="shared" si="4"/>
        <v>Landline</v>
      </c>
      <c r="AE21" t="str">
        <f t="shared" si="5"/>
        <v>Valid</v>
      </c>
    </row>
    <row r="22" spans="1:31" x14ac:dyDescent="0.3">
      <c r="A22" s="2" t="s">
        <v>90</v>
      </c>
      <c r="B22" s="2" t="s">
        <v>91</v>
      </c>
      <c r="C22" s="2" t="s">
        <v>92</v>
      </c>
      <c r="D22" s="2" t="s">
        <v>26</v>
      </c>
      <c r="E22" s="2" t="s">
        <v>92</v>
      </c>
      <c r="F22" s="2" t="s">
        <v>92</v>
      </c>
      <c r="G22" s="5" t="str" cm="1">
        <f t="array" ref="G22">IFERROR(INDEX(City_Lookup!$B$2:$B$297,MATCH(TRUE,ISNUMBER(SEARCH(City_Lookup!$A$2:$A$297,$F22&amp;" "&amp;$E22)),0)),"Not Available")</f>
        <v>Mahottari</v>
      </c>
      <c r="H22" s="5" t="str">
        <f>IFERROR(INDEX(City_Lookup!$E$2:$E$66,MATCH($G22,City_Lookup!$D$2:$D$66,0)),"Not Available")</f>
        <v>Madhesh</v>
      </c>
      <c r="I22" s="2" t="s">
        <v>28</v>
      </c>
      <c r="J22" s="2" t="s">
        <v>29</v>
      </c>
      <c r="K22" s="2" t="s">
        <v>30</v>
      </c>
      <c r="L22" s="2"/>
      <c r="M22" s="2" t="s">
        <v>30</v>
      </c>
      <c r="N22" s="2" t="s">
        <v>31</v>
      </c>
      <c r="O22" s="2">
        <v>2</v>
      </c>
      <c r="P22" s="2" t="s">
        <v>27</v>
      </c>
      <c r="Q22" s="2" t="s">
        <v>93</v>
      </c>
      <c r="R22" s="2" t="s">
        <v>33</v>
      </c>
      <c r="S22" s="2" t="s">
        <v>27</v>
      </c>
      <c r="T22" s="2" t="s">
        <v>34</v>
      </c>
      <c r="U22" s="2" t="s">
        <v>35</v>
      </c>
      <c r="V22" s="2" t="s">
        <v>36</v>
      </c>
      <c r="W22" s="2" t="s">
        <v>37</v>
      </c>
      <c r="X22" s="4" t="s">
        <v>2486</v>
      </c>
      <c r="Y22" s="4" t="s">
        <v>2500</v>
      </c>
      <c r="Z22" t="str">
        <f t="shared" si="0"/>
        <v>97714153051</v>
      </c>
      <c r="AA22" t="str">
        <f t="shared" si="1"/>
        <v>14153051</v>
      </c>
      <c r="AB22" t="str">
        <f t="shared" si="2"/>
        <v>14153051</v>
      </c>
      <c r="AC22" t="str">
        <f t="shared" si="3"/>
        <v>+97714153051</v>
      </c>
      <c r="AD22" t="str">
        <f t="shared" si="4"/>
        <v>Landline</v>
      </c>
      <c r="AE22" t="str">
        <f t="shared" si="5"/>
        <v>Valid</v>
      </c>
    </row>
    <row r="23" spans="1:31" x14ac:dyDescent="0.3">
      <c r="A23" s="2" t="s">
        <v>90</v>
      </c>
      <c r="B23" s="2" t="s">
        <v>94</v>
      </c>
      <c r="C23" s="2" t="s">
        <v>92</v>
      </c>
      <c r="D23" s="2" t="s">
        <v>26</v>
      </c>
      <c r="E23" s="2" t="s">
        <v>92</v>
      </c>
      <c r="F23" s="2" t="s">
        <v>92</v>
      </c>
      <c r="G23" s="5" t="str" cm="1">
        <f t="array" ref="G23">IFERROR(INDEX(City_Lookup!$B$2:$B$297,MATCH(TRUE,ISNUMBER(SEARCH(City_Lookup!$A$2:$A$297,$F23&amp;" "&amp;$E23)),0)),"Not Available")</f>
        <v>Mahottari</v>
      </c>
      <c r="H23" s="5" t="str">
        <f>IFERROR(INDEX(City_Lookup!$E$2:$E$66,MATCH($G23,City_Lookup!$D$2:$D$66,0)),"Not Available")</f>
        <v>Madhesh</v>
      </c>
      <c r="I23" s="2" t="s">
        <v>28</v>
      </c>
      <c r="J23" s="2" t="s">
        <v>39</v>
      </c>
      <c r="K23" s="2"/>
      <c r="L23" s="2" t="s">
        <v>40</v>
      </c>
      <c r="M23" s="2" t="s">
        <v>40</v>
      </c>
      <c r="N23" s="2" t="s">
        <v>31</v>
      </c>
      <c r="O23" s="2">
        <v>2</v>
      </c>
      <c r="P23" s="2" t="s">
        <v>27</v>
      </c>
      <c r="Q23" s="2" t="s">
        <v>93</v>
      </c>
      <c r="R23" s="2" t="s">
        <v>33</v>
      </c>
      <c r="S23" s="2" t="s">
        <v>27</v>
      </c>
      <c r="T23" s="2" t="s">
        <v>34</v>
      </c>
      <c r="U23" s="2" t="s">
        <v>35</v>
      </c>
      <c r="V23" s="2" t="s">
        <v>36</v>
      </c>
      <c r="W23" s="2" t="s">
        <v>37</v>
      </c>
      <c r="X23" s="4" t="s">
        <v>2486</v>
      </c>
      <c r="Y23" s="4" t="s">
        <v>2500</v>
      </c>
      <c r="Z23" t="str">
        <f t="shared" si="0"/>
        <v>97714153051</v>
      </c>
      <c r="AA23" t="str">
        <f t="shared" si="1"/>
        <v>14153051</v>
      </c>
      <c r="AB23" t="str">
        <f t="shared" si="2"/>
        <v>14153051</v>
      </c>
      <c r="AC23" t="str">
        <f t="shared" si="3"/>
        <v>+97714153051</v>
      </c>
      <c r="AD23" t="str">
        <f t="shared" si="4"/>
        <v>Landline</v>
      </c>
      <c r="AE23" t="str">
        <f t="shared" si="5"/>
        <v>Valid</v>
      </c>
    </row>
    <row r="24" spans="1:31" x14ac:dyDescent="0.3">
      <c r="A24" s="2" t="s">
        <v>95</v>
      </c>
      <c r="B24" s="2" t="s">
        <v>96</v>
      </c>
      <c r="C24" s="2" t="s">
        <v>97</v>
      </c>
      <c r="D24" s="2" t="s">
        <v>26</v>
      </c>
      <c r="E24" s="2" t="s">
        <v>97</v>
      </c>
      <c r="F24" s="2" t="s">
        <v>97</v>
      </c>
      <c r="G24" s="5" t="str" cm="1">
        <f t="array" ref="G24">IFERROR(INDEX(City_Lookup!$B$2:$B$297,MATCH(TRUE,ISNUMBER(SEARCH(City_Lookup!$A$2:$A$297,$F24&amp;" "&amp;$E24)),0)),"Not Available")</f>
        <v>Mahottari</v>
      </c>
      <c r="H24" s="5" t="str">
        <f>IFERROR(INDEX(City_Lookup!$E$2:$E$66,MATCH($G24,City_Lookup!$D$2:$D$66,0)),"Not Available")</f>
        <v>Madhesh</v>
      </c>
      <c r="I24" s="2" t="s">
        <v>28</v>
      </c>
      <c r="J24" s="2" t="s">
        <v>29</v>
      </c>
      <c r="K24" s="2" t="s">
        <v>30</v>
      </c>
      <c r="L24" s="2"/>
      <c r="M24" s="2" t="s">
        <v>30</v>
      </c>
      <c r="N24" s="2" t="s">
        <v>31</v>
      </c>
      <c r="O24" s="2">
        <v>2</v>
      </c>
      <c r="P24" s="2" t="s">
        <v>27</v>
      </c>
      <c r="Q24" s="2" t="s">
        <v>99</v>
      </c>
      <c r="R24" s="2" t="s">
        <v>33</v>
      </c>
      <c r="S24" s="2" t="s">
        <v>27</v>
      </c>
      <c r="T24" s="2" t="s">
        <v>34</v>
      </c>
      <c r="U24" s="2" t="s">
        <v>35</v>
      </c>
      <c r="V24" s="2" t="s">
        <v>36</v>
      </c>
      <c r="W24" s="2" t="s">
        <v>37</v>
      </c>
      <c r="X24" s="4" t="s">
        <v>2486</v>
      </c>
      <c r="Y24" s="4" t="s">
        <v>2500</v>
      </c>
      <c r="Z24" t="str">
        <f t="shared" si="0"/>
        <v>97714153051</v>
      </c>
      <c r="AA24" t="str">
        <f t="shared" si="1"/>
        <v>14153051</v>
      </c>
      <c r="AB24" t="str">
        <f t="shared" si="2"/>
        <v>14153051</v>
      </c>
      <c r="AC24" t="str">
        <f t="shared" si="3"/>
        <v>+97714153051</v>
      </c>
      <c r="AD24" t="str">
        <f t="shared" si="4"/>
        <v>Landline</v>
      </c>
      <c r="AE24" t="str">
        <f t="shared" si="5"/>
        <v>Valid</v>
      </c>
    </row>
    <row r="25" spans="1:31" x14ac:dyDescent="0.3">
      <c r="A25" s="2" t="s">
        <v>95</v>
      </c>
      <c r="B25" s="2" t="s">
        <v>100</v>
      </c>
      <c r="C25" s="2" t="s">
        <v>97</v>
      </c>
      <c r="D25" s="2" t="s">
        <v>26</v>
      </c>
      <c r="E25" s="2" t="s">
        <v>97</v>
      </c>
      <c r="F25" s="2" t="s">
        <v>97</v>
      </c>
      <c r="G25" s="5" t="str" cm="1">
        <f t="array" ref="G25">IFERROR(INDEX(City_Lookup!$B$2:$B$297,MATCH(TRUE,ISNUMBER(SEARCH(City_Lookup!$A$2:$A$297,$F25&amp;" "&amp;$E25)),0)),"Not Available")</f>
        <v>Mahottari</v>
      </c>
      <c r="H25" s="5" t="str">
        <f>IFERROR(INDEX(City_Lookup!$E$2:$E$66,MATCH($G25,City_Lookup!$D$2:$D$66,0)),"Not Available")</f>
        <v>Madhesh</v>
      </c>
      <c r="I25" s="2" t="s">
        <v>28</v>
      </c>
      <c r="J25" s="2" t="s">
        <v>39</v>
      </c>
      <c r="K25" s="2"/>
      <c r="L25" s="2" t="s">
        <v>40</v>
      </c>
      <c r="M25" s="2" t="s">
        <v>40</v>
      </c>
      <c r="N25" s="2" t="s">
        <v>31</v>
      </c>
      <c r="O25" s="2">
        <v>2</v>
      </c>
      <c r="P25" s="2" t="s">
        <v>27</v>
      </c>
      <c r="Q25" s="2" t="s">
        <v>99</v>
      </c>
      <c r="R25" s="2" t="s">
        <v>33</v>
      </c>
      <c r="S25" s="2" t="s">
        <v>27</v>
      </c>
      <c r="T25" s="2" t="s">
        <v>34</v>
      </c>
      <c r="U25" s="2" t="s">
        <v>35</v>
      </c>
      <c r="V25" s="2" t="s">
        <v>36</v>
      </c>
      <c r="W25" s="2" t="s">
        <v>37</v>
      </c>
      <c r="X25" s="4" t="s">
        <v>2486</v>
      </c>
      <c r="Y25" s="4" t="s">
        <v>2500</v>
      </c>
      <c r="Z25" t="str">
        <f t="shared" si="0"/>
        <v>97714153051</v>
      </c>
      <c r="AA25" t="str">
        <f t="shared" si="1"/>
        <v>14153051</v>
      </c>
      <c r="AB25" t="str">
        <f t="shared" si="2"/>
        <v>14153051</v>
      </c>
      <c r="AC25" t="str">
        <f t="shared" si="3"/>
        <v>+97714153051</v>
      </c>
      <c r="AD25" t="str">
        <f t="shared" si="4"/>
        <v>Landline</v>
      </c>
      <c r="AE25" t="str">
        <f t="shared" si="5"/>
        <v>Valid</v>
      </c>
    </row>
    <row r="26" spans="1:31" x14ac:dyDescent="0.3">
      <c r="A26" s="2" t="s">
        <v>101</v>
      </c>
      <c r="B26" s="2" t="s">
        <v>102</v>
      </c>
      <c r="C26" s="2" t="s">
        <v>103</v>
      </c>
      <c r="D26" s="2" t="s">
        <v>26</v>
      </c>
      <c r="E26" s="2" t="s">
        <v>103</v>
      </c>
      <c r="F26" s="2" t="s">
        <v>103</v>
      </c>
      <c r="G26" s="5" t="str" cm="1">
        <f t="array" ref="G26">IFERROR(INDEX(City_Lookup!$B$2:$B$297,MATCH(TRUE,ISNUMBER(SEARCH(City_Lookup!$A$2:$A$297,$F26&amp;" "&amp;$E26)),0)),"Not Available")</f>
        <v>Sarlahi</v>
      </c>
      <c r="H26" s="5" t="str">
        <f>IFERROR(INDEX(City_Lookup!$E$2:$E$66,MATCH($G26,City_Lookup!$D$2:$D$66,0)),"Not Available")</f>
        <v>Madhesh</v>
      </c>
      <c r="I26" s="2" t="s">
        <v>28</v>
      </c>
      <c r="J26" s="2" t="s">
        <v>29</v>
      </c>
      <c r="K26" s="2" t="s">
        <v>30</v>
      </c>
      <c r="L26" s="2"/>
      <c r="M26" s="2" t="s">
        <v>30</v>
      </c>
      <c r="N26" s="2" t="s">
        <v>31</v>
      </c>
      <c r="O26" s="2">
        <v>2</v>
      </c>
      <c r="P26" s="2" t="s">
        <v>27</v>
      </c>
      <c r="Q26" s="2" t="s">
        <v>106</v>
      </c>
      <c r="R26" s="2" t="s">
        <v>33</v>
      </c>
      <c r="S26" s="2" t="s">
        <v>27</v>
      </c>
      <c r="T26" s="2" t="s">
        <v>34</v>
      </c>
      <c r="U26" s="2" t="s">
        <v>35</v>
      </c>
      <c r="V26" s="2" t="s">
        <v>36</v>
      </c>
      <c r="W26" s="2" t="s">
        <v>37</v>
      </c>
      <c r="X26" s="4" t="s">
        <v>2486</v>
      </c>
      <c r="Y26" s="4" t="s">
        <v>2500</v>
      </c>
      <c r="Z26" t="str">
        <f t="shared" si="0"/>
        <v>97714153051</v>
      </c>
      <c r="AA26" t="str">
        <f t="shared" si="1"/>
        <v>14153051</v>
      </c>
      <c r="AB26" t="str">
        <f t="shared" si="2"/>
        <v>14153051</v>
      </c>
      <c r="AC26" t="str">
        <f t="shared" si="3"/>
        <v>+97714153051</v>
      </c>
      <c r="AD26" t="str">
        <f t="shared" si="4"/>
        <v>Landline</v>
      </c>
      <c r="AE26" t="str">
        <f t="shared" si="5"/>
        <v>Valid</v>
      </c>
    </row>
    <row r="27" spans="1:31" x14ac:dyDescent="0.3">
      <c r="A27" s="2" t="s">
        <v>101</v>
      </c>
      <c r="B27" s="2" t="s">
        <v>107</v>
      </c>
      <c r="C27" s="2" t="s">
        <v>103</v>
      </c>
      <c r="D27" s="2" t="s">
        <v>26</v>
      </c>
      <c r="E27" s="2" t="s">
        <v>103</v>
      </c>
      <c r="F27" s="2" t="s">
        <v>103</v>
      </c>
      <c r="G27" s="5" t="str" cm="1">
        <f t="array" ref="G27">IFERROR(INDEX(City_Lookup!$B$2:$B$297,MATCH(TRUE,ISNUMBER(SEARCH(City_Lookup!$A$2:$A$297,$F27&amp;" "&amp;$E27)),0)),"Not Available")</f>
        <v>Sarlahi</v>
      </c>
      <c r="H27" s="5" t="str">
        <f>IFERROR(INDEX(City_Lookup!$E$2:$E$66,MATCH($G27,City_Lookup!$D$2:$D$66,0)),"Not Available")</f>
        <v>Madhesh</v>
      </c>
      <c r="I27" s="2" t="s">
        <v>28</v>
      </c>
      <c r="J27" s="2" t="s">
        <v>39</v>
      </c>
      <c r="K27" s="2"/>
      <c r="L27" s="2" t="s">
        <v>40</v>
      </c>
      <c r="M27" s="2" t="s">
        <v>40</v>
      </c>
      <c r="N27" s="2" t="s">
        <v>31</v>
      </c>
      <c r="O27" s="2">
        <v>2</v>
      </c>
      <c r="P27" s="2" t="s">
        <v>27</v>
      </c>
      <c r="Q27" s="2" t="s">
        <v>106</v>
      </c>
      <c r="R27" s="2" t="s">
        <v>33</v>
      </c>
      <c r="S27" s="2" t="s">
        <v>27</v>
      </c>
      <c r="T27" s="2" t="s">
        <v>34</v>
      </c>
      <c r="U27" s="2" t="s">
        <v>35</v>
      </c>
      <c r="V27" s="2" t="s">
        <v>36</v>
      </c>
      <c r="W27" s="2" t="s">
        <v>37</v>
      </c>
      <c r="X27" s="4" t="s">
        <v>2486</v>
      </c>
      <c r="Y27" s="4" t="s">
        <v>2500</v>
      </c>
      <c r="Z27" t="str">
        <f t="shared" si="0"/>
        <v>97714153051</v>
      </c>
      <c r="AA27" t="str">
        <f t="shared" si="1"/>
        <v>14153051</v>
      </c>
      <c r="AB27" t="str">
        <f t="shared" si="2"/>
        <v>14153051</v>
      </c>
      <c r="AC27" t="str">
        <f t="shared" si="3"/>
        <v>+97714153051</v>
      </c>
      <c r="AD27" t="str">
        <f t="shared" si="4"/>
        <v>Landline</v>
      </c>
      <c r="AE27" t="str">
        <f t="shared" si="5"/>
        <v>Valid</v>
      </c>
    </row>
    <row r="28" spans="1:31" x14ac:dyDescent="0.3">
      <c r="A28" s="2" t="s">
        <v>108</v>
      </c>
      <c r="B28" s="2" t="s">
        <v>109</v>
      </c>
      <c r="C28" s="2" t="s">
        <v>110</v>
      </c>
      <c r="D28" s="2" t="s">
        <v>26</v>
      </c>
      <c r="E28" s="2" t="s">
        <v>110</v>
      </c>
      <c r="F28" s="2" t="s">
        <v>110</v>
      </c>
      <c r="G28" s="5" t="str" cm="1">
        <f t="array" ref="G28">IFERROR(INDEX(City_Lookup!$B$2:$B$297,MATCH(TRUE,ISNUMBER(SEARCH(City_Lookup!$A$2:$A$297,$F28&amp;" "&amp;$E28)),0)),"Not Available")</f>
        <v>Sunsari</v>
      </c>
      <c r="H28" s="5" t="str">
        <f>IFERROR(INDEX(City_Lookup!$E$2:$E$66,MATCH($G28,City_Lookup!$D$2:$D$66,0)),"Not Available")</f>
        <v>Koshi</v>
      </c>
      <c r="I28" s="2" t="s">
        <v>28</v>
      </c>
      <c r="J28" s="2" t="s">
        <v>29</v>
      </c>
      <c r="K28" s="2" t="s">
        <v>30</v>
      </c>
      <c r="L28" s="2"/>
      <c r="M28" s="2" t="s">
        <v>30</v>
      </c>
      <c r="N28" s="2" t="s">
        <v>31</v>
      </c>
      <c r="O28" s="2">
        <v>2</v>
      </c>
      <c r="P28" s="2" t="s">
        <v>27</v>
      </c>
      <c r="Q28" s="2" t="s">
        <v>113</v>
      </c>
      <c r="R28" s="2" t="s">
        <v>33</v>
      </c>
      <c r="S28" s="2" t="s">
        <v>27</v>
      </c>
      <c r="T28" s="2" t="s">
        <v>34</v>
      </c>
      <c r="U28" s="2" t="s">
        <v>35</v>
      </c>
      <c r="V28" s="2" t="s">
        <v>36</v>
      </c>
      <c r="W28" s="2" t="s">
        <v>37</v>
      </c>
      <c r="X28" s="4" t="s">
        <v>2486</v>
      </c>
      <c r="Y28" s="4" t="s">
        <v>2500</v>
      </c>
      <c r="Z28" t="str">
        <f t="shared" si="0"/>
        <v>97714153051</v>
      </c>
      <c r="AA28" t="str">
        <f t="shared" si="1"/>
        <v>14153051</v>
      </c>
      <c r="AB28" t="str">
        <f t="shared" si="2"/>
        <v>14153051</v>
      </c>
      <c r="AC28" t="str">
        <f t="shared" si="3"/>
        <v>+97714153051</v>
      </c>
      <c r="AD28" t="str">
        <f t="shared" si="4"/>
        <v>Landline</v>
      </c>
      <c r="AE28" t="str">
        <f t="shared" si="5"/>
        <v>Valid</v>
      </c>
    </row>
    <row r="29" spans="1:31" x14ac:dyDescent="0.3">
      <c r="A29" s="2" t="s">
        <v>108</v>
      </c>
      <c r="B29" s="2" t="s">
        <v>114</v>
      </c>
      <c r="C29" s="2" t="s">
        <v>110</v>
      </c>
      <c r="D29" s="2" t="s">
        <v>26</v>
      </c>
      <c r="E29" s="2" t="s">
        <v>110</v>
      </c>
      <c r="F29" s="2" t="s">
        <v>110</v>
      </c>
      <c r="G29" s="5" t="str" cm="1">
        <f t="array" ref="G29">IFERROR(INDEX(City_Lookup!$B$2:$B$297,MATCH(TRUE,ISNUMBER(SEARCH(City_Lookup!$A$2:$A$297,$F29&amp;" "&amp;$E29)),0)),"Not Available")</f>
        <v>Sunsari</v>
      </c>
      <c r="H29" s="5" t="str">
        <f>IFERROR(INDEX(City_Lookup!$E$2:$E$66,MATCH($G29,City_Lookup!$D$2:$D$66,0)),"Not Available")</f>
        <v>Koshi</v>
      </c>
      <c r="I29" s="2" t="s">
        <v>28</v>
      </c>
      <c r="J29" s="2" t="s">
        <v>39</v>
      </c>
      <c r="K29" s="2"/>
      <c r="L29" s="2" t="s">
        <v>40</v>
      </c>
      <c r="M29" s="2" t="s">
        <v>40</v>
      </c>
      <c r="N29" s="2" t="s">
        <v>31</v>
      </c>
      <c r="O29" s="2">
        <v>2</v>
      </c>
      <c r="P29" s="2" t="s">
        <v>27</v>
      </c>
      <c r="Q29" s="2" t="s">
        <v>113</v>
      </c>
      <c r="R29" s="2" t="s">
        <v>33</v>
      </c>
      <c r="S29" s="2" t="s">
        <v>27</v>
      </c>
      <c r="T29" s="2" t="s">
        <v>34</v>
      </c>
      <c r="U29" s="2" t="s">
        <v>35</v>
      </c>
      <c r="V29" s="2" t="s">
        <v>36</v>
      </c>
      <c r="W29" s="2" t="s">
        <v>37</v>
      </c>
      <c r="X29" s="4" t="s">
        <v>2486</v>
      </c>
      <c r="Y29" s="4" t="s">
        <v>2500</v>
      </c>
      <c r="Z29" t="str">
        <f t="shared" si="0"/>
        <v>97714153051</v>
      </c>
      <c r="AA29" t="str">
        <f t="shared" si="1"/>
        <v>14153051</v>
      </c>
      <c r="AB29" t="str">
        <f t="shared" si="2"/>
        <v>14153051</v>
      </c>
      <c r="AC29" t="str">
        <f t="shared" si="3"/>
        <v>+97714153051</v>
      </c>
      <c r="AD29" t="str">
        <f t="shared" si="4"/>
        <v>Landline</v>
      </c>
      <c r="AE29" t="str">
        <f t="shared" si="5"/>
        <v>Valid</v>
      </c>
    </row>
    <row r="30" spans="1:31" x14ac:dyDescent="0.3">
      <c r="A30" s="2" t="s">
        <v>115</v>
      </c>
      <c r="B30" s="2" t="s">
        <v>116</v>
      </c>
      <c r="C30" s="2" t="s">
        <v>117</v>
      </c>
      <c r="D30" s="2" t="s">
        <v>26</v>
      </c>
      <c r="E30" s="2" t="s">
        <v>117</v>
      </c>
      <c r="F30" s="2" t="s">
        <v>117</v>
      </c>
      <c r="G30" s="5" t="str" cm="1">
        <f t="array" ref="G30">IFERROR(INDEX(City_Lookup!$B$2:$B$297,MATCH(TRUE,ISNUMBER(SEARCH(City_Lookup!$A$2:$A$297,$F30&amp;" "&amp;$E30)),0)),"Not Available")</f>
        <v>Siraha</v>
      </c>
      <c r="H30" s="5" t="str">
        <f>IFERROR(INDEX(City_Lookup!$E$2:$E$66,MATCH($G30,City_Lookup!$D$2:$D$66,0)),"Not Available")</f>
        <v>Madhesh</v>
      </c>
      <c r="I30" s="2" t="s">
        <v>28</v>
      </c>
      <c r="J30" s="2" t="s">
        <v>29</v>
      </c>
      <c r="K30" s="2" t="s">
        <v>30</v>
      </c>
      <c r="L30" s="2"/>
      <c r="M30" s="2" t="s">
        <v>30</v>
      </c>
      <c r="N30" s="2" t="s">
        <v>31</v>
      </c>
      <c r="O30" s="2">
        <v>2</v>
      </c>
      <c r="P30" s="2" t="s">
        <v>27</v>
      </c>
      <c r="Q30" s="2" t="s">
        <v>119</v>
      </c>
      <c r="R30" s="2" t="s">
        <v>33</v>
      </c>
      <c r="S30" s="2" t="s">
        <v>27</v>
      </c>
      <c r="T30" s="2" t="s">
        <v>34</v>
      </c>
      <c r="U30" s="2" t="s">
        <v>35</v>
      </c>
      <c r="V30" s="2" t="s">
        <v>36</v>
      </c>
      <c r="W30" s="2" t="s">
        <v>37</v>
      </c>
      <c r="X30" s="4" t="s">
        <v>2486</v>
      </c>
      <c r="Y30" s="4" t="s">
        <v>2500</v>
      </c>
      <c r="Z30" t="str">
        <f t="shared" si="0"/>
        <v>97714153051</v>
      </c>
      <c r="AA30" t="str">
        <f t="shared" si="1"/>
        <v>14153051</v>
      </c>
      <c r="AB30" t="str">
        <f t="shared" si="2"/>
        <v>14153051</v>
      </c>
      <c r="AC30" t="str">
        <f t="shared" si="3"/>
        <v>+97714153051</v>
      </c>
      <c r="AD30" t="str">
        <f t="shared" si="4"/>
        <v>Landline</v>
      </c>
      <c r="AE30" t="str">
        <f t="shared" si="5"/>
        <v>Valid</v>
      </c>
    </row>
    <row r="31" spans="1:31" x14ac:dyDescent="0.3">
      <c r="A31" s="2" t="s">
        <v>115</v>
      </c>
      <c r="B31" s="2" t="s">
        <v>120</v>
      </c>
      <c r="C31" s="2" t="s">
        <v>117</v>
      </c>
      <c r="D31" s="2" t="s">
        <v>26</v>
      </c>
      <c r="E31" s="2" t="s">
        <v>117</v>
      </c>
      <c r="F31" s="2" t="s">
        <v>117</v>
      </c>
      <c r="G31" s="5" t="str" cm="1">
        <f t="array" ref="G31">IFERROR(INDEX(City_Lookup!$B$2:$B$297,MATCH(TRUE,ISNUMBER(SEARCH(City_Lookup!$A$2:$A$297,$F31&amp;" "&amp;$E31)),0)),"Not Available")</f>
        <v>Siraha</v>
      </c>
      <c r="H31" s="5" t="str">
        <f>IFERROR(INDEX(City_Lookup!$E$2:$E$66,MATCH($G31,City_Lookup!$D$2:$D$66,0)),"Not Available")</f>
        <v>Madhesh</v>
      </c>
      <c r="I31" s="2" t="s">
        <v>28</v>
      </c>
      <c r="J31" s="2" t="s">
        <v>39</v>
      </c>
      <c r="K31" s="2"/>
      <c r="L31" s="2" t="s">
        <v>40</v>
      </c>
      <c r="M31" s="2" t="s">
        <v>40</v>
      </c>
      <c r="N31" s="2" t="s">
        <v>31</v>
      </c>
      <c r="O31" s="2">
        <v>2</v>
      </c>
      <c r="P31" s="2" t="s">
        <v>27</v>
      </c>
      <c r="Q31" s="2" t="s">
        <v>119</v>
      </c>
      <c r="R31" s="2" t="s">
        <v>33</v>
      </c>
      <c r="S31" s="2" t="s">
        <v>27</v>
      </c>
      <c r="T31" s="2" t="s">
        <v>34</v>
      </c>
      <c r="U31" s="2" t="s">
        <v>35</v>
      </c>
      <c r="V31" s="2" t="s">
        <v>36</v>
      </c>
      <c r="W31" s="2" t="s">
        <v>37</v>
      </c>
      <c r="X31" s="4" t="s">
        <v>2486</v>
      </c>
      <c r="Y31" s="4" t="s">
        <v>2500</v>
      </c>
      <c r="Z31" t="str">
        <f t="shared" si="0"/>
        <v>97714153051</v>
      </c>
      <c r="AA31" t="str">
        <f t="shared" si="1"/>
        <v>14153051</v>
      </c>
      <c r="AB31" t="str">
        <f t="shared" si="2"/>
        <v>14153051</v>
      </c>
      <c r="AC31" t="str">
        <f t="shared" si="3"/>
        <v>+97714153051</v>
      </c>
      <c r="AD31" t="str">
        <f t="shared" si="4"/>
        <v>Landline</v>
      </c>
      <c r="AE31" t="str">
        <f t="shared" si="5"/>
        <v>Valid</v>
      </c>
    </row>
    <row r="32" spans="1:31" x14ac:dyDescent="0.3">
      <c r="A32" s="2" t="s">
        <v>121</v>
      </c>
      <c r="B32" s="2" t="s">
        <v>122</v>
      </c>
      <c r="C32" s="2" t="s">
        <v>123</v>
      </c>
      <c r="D32" s="2" t="s">
        <v>26</v>
      </c>
      <c r="E32" s="2" t="s">
        <v>123</v>
      </c>
      <c r="F32" s="2" t="s">
        <v>123</v>
      </c>
      <c r="G32" s="5" t="str" cm="1">
        <f t="array" ref="G32">IFERROR(INDEX(City_Lookup!$B$2:$B$297,MATCH(TRUE,ISNUMBER(SEARCH(City_Lookup!$A$2:$A$297,$F32&amp;" "&amp;$E32)),0)),"Not Available")</f>
        <v>Kaski</v>
      </c>
      <c r="H32" s="5" t="str">
        <f>IFERROR(INDEX(City_Lookup!$E$2:$E$66,MATCH($G32,City_Lookup!$D$2:$D$66,0)),"Not Available")</f>
        <v>Gandaki</v>
      </c>
      <c r="I32" s="2" t="s">
        <v>28</v>
      </c>
      <c r="J32" s="2" t="s">
        <v>29</v>
      </c>
      <c r="K32" s="2" t="s">
        <v>30</v>
      </c>
      <c r="L32" s="2"/>
      <c r="M32" s="2" t="s">
        <v>30</v>
      </c>
      <c r="N32" s="2" t="s">
        <v>31</v>
      </c>
      <c r="O32" s="2">
        <v>2</v>
      </c>
      <c r="P32" s="2" t="s">
        <v>27</v>
      </c>
      <c r="Q32" s="2" t="s">
        <v>126</v>
      </c>
      <c r="R32" s="2" t="s">
        <v>33</v>
      </c>
      <c r="S32" s="2" t="s">
        <v>27</v>
      </c>
      <c r="T32" s="2" t="s">
        <v>34</v>
      </c>
      <c r="U32" s="2" t="s">
        <v>35</v>
      </c>
      <c r="V32" s="2" t="s">
        <v>36</v>
      </c>
      <c r="W32" s="2" t="s">
        <v>37</v>
      </c>
      <c r="X32" s="4" t="s">
        <v>2486</v>
      </c>
      <c r="Y32" s="4" t="s">
        <v>2500</v>
      </c>
      <c r="Z32" t="str">
        <f t="shared" si="0"/>
        <v>97714153051</v>
      </c>
      <c r="AA32" t="str">
        <f t="shared" si="1"/>
        <v>14153051</v>
      </c>
      <c r="AB32" t="str">
        <f t="shared" si="2"/>
        <v>14153051</v>
      </c>
      <c r="AC32" t="str">
        <f t="shared" si="3"/>
        <v>+97714153051</v>
      </c>
      <c r="AD32" t="str">
        <f t="shared" si="4"/>
        <v>Landline</v>
      </c>
      <c r="AE32" t="str">
        <f t="shared" si="5"/>
        <v>Valid</v>
      </c>
    </row>
    <row r="33" spans="1:31" x14ac:dyDescent="0.3">
      <c r="A33" s="2" t="s">
        <v>121</v>
      </c>
      <c r="B33" s="2" t="s">
        <v>127</v>
      </c>
      <c r="C33" s="2" t="s">
        <v>123</v>
      </c>
      <c r="D33" s="2" t="s">
        <v>26</v>
      </c>
      <c r="E33" s="2" t="s">
        <v>123</v>
      </c>
      <c r="F33" s="2" t="s">
        <v>123</v>
      </c>
      <c r="G33" s="5" t="str" cm="1">
        <f t="array" ref="G33">IFERROR(INDEX(City_Lookup!$B$2:$B$297,MATCH(TRUE,ISNUMBER(SEARCH(City_Lookup!$A$2:$A$297,$F33&amp;" "&amp;$E33)),0)),"Not Available")</f>
        <v>Kaski</v>
      </c>
      <c r="H33" s="5" t="str">
        <f>IFERROR(INDEX(City_Lookup!$E$2:$E$66,MATCH($G33,City_Lookup!$D$2:$D$66,0)),"Not Available")</f>
        <v>Gandaki</v>
      </c>
      <c r="I33" s="2" t="s">
        <v>28</v>
      </c>
      <c r="J33" s="2" t="s">
        <v>39</v>
      </c>
      <c r="K33" s="2"/>
      <c r="L33" s="2" t="s">
        <v>40</v>
      </c>
      <c r="M33" s="2" t="s">
        <v>40</v>
      </c>
      <c r="N33" s="2" t="s">
        <v>31</v>
      </c>
      <c r="O33" s="2">
        <v>2</v>
      </c>
      <c r="P33" s="2" t="s">
        <v>27</v>
      </c>
      <c r="Q33" s="2" t="s">
        <v>126</v>
      </c>
      <c r="R33" s="2" t="s">
        <v>33</v>
      </c>
      <c r="S33" s="2" t="s">
        <v>27</v>
      </c>
      <c r="T33" s="2" t="s">
        <v>34</v>
      </c>
      <c r="U33" s="2" t="s">
        <v>35</v>
      </c>
      <c r="V33" s="2" t="s">
        <v>36</v>
      </c>
      <c r="W33" s="2" t="s">
        <v>37</v>
      </c>
      <c r="X33" s="4" t="s">
        <v>2486</v>
      </c>
      <c r="Y33" s="4" t="s">
        <v>2500</v>
      </c>
      <c r="Z33" t="str">
        <f t="shared" si="0"/>
        <v>97714153051</v>
      </c>
      <c r="AA33" t="str">
        <f t="shared" si="1"/>
        <v>14153051</v>
      </c>
      <c r="AB33" t="str">
        <f t="shared" si="2"/>
        <v>14153051</v>
      </c>
      <c r="AC33" t="str">
        <f t="shared" si="3"/>
        <v>+97714153051</v>
      </c>
      <c r="AD33" t="str">
        <f t="shared" si="4"/>
        <v>Landline</v>
      </c>
      <c r="AE33" t="str">
        <f t="shared" si="5"/>
        <v>Valid</v>
      </c>
    </row>
    <row r="34" spans="1:31" x14ac:dyDescent="0.3">
      <c r="A34" s="2" t="s">
        <v>128</v>
      </c>
      <c r="B34" s="2" t="s">
        <v>129</v>
      </c>
      <c r="C34" s="2" t="s">
        <v>130</v>
      </c>
      <c r="D34" s="2" t="s">
        <v>26</v>
      </c>
      <c r="E34" s="2" t="s">
        <v>130</v>
      </c>
      <c r="F34" s="2" t="s">
        <v>130</v>
      </c>
      <c r="G34" s="5" t="str" cm="1">
        <f t="array" ref="G34">IFERROR(INDEX(City_Lookup!$B$2:$B$297,MATCH(TRUE,ISNUMBER(SEARCH(City_Lookup!$A$2:$A$297,$F34&amp;" "&amp;$E34)),0)),"Not Available")</f>
        <v>Jhapa</v>
      </c>
      <c r="H34" s="5" t="str">
        <f>IFERROR(INDEX(City_Lookup!$E$2:$E$66,MATCH($G34,City_Lookup!$D$2:$D$66,0)),"Not Available")</f>
        <v>Koshi</v>
      </c>
      <c r="I34" s="2" t="s">
        <v>28</v>
      </c>
      <c r="J34" s="2" t="s">
        <v>29</v>
      </c>
      <c r="K34" s="2" t="s">
        <v>30</v>
      </c>
      <c r="L34" s="2"/>
      <c r="M34" s="2" t="s">
        <v>30</v>
      </c>
      <c r="N34" s="2" t="s">
        <v>31</v>
      </c>
      <c r="O34" s="2">
        <v>2</v>
      </c>
      <c r="P34" s="2" t="s">
        <v>27</v>
      </c>
      <c r="Q34" s="2" t="s">
        <v>132</v>
      </c>
      <c r="R34" s="2" t="s">
        <v>33</v>
      </c>
      <c r="S34" s="2" t="s">
        <v>27</v>
      </c>
      <c r="T34" s="2" t="s">
        <v>34</v>
      </c>
      <c r="U34" s="2" t="s">
        <v>35</v>
      </c>
      <c r="V34" s="2" t="s">
        <v>36</v>
      </c>
      <c r="W34" s="2" t="s">
        <v>37</v>
      </c>
      <c r="X34" s="4" t="s">
        <v>2486</v>
      </c>
      <c r="Y34" s="4" t="s">
        <v>2500</v>
      </c>
      <c r="Z34" t="str">
        <f t="shared" si="0"/>
        <v>97714153051</v>
      </c>
      <c r="AA34" t="str">
        <f t="shared" si="1"/>
        <v>14153051</v>
      </c>
      <c r="AB34" t="str">
        <f t="shared" si="2"/>
        <v>14153051</v>
      </c>
      <c r="AC34" t="str">
        <f t="shared" si="3"/>
        <v>+97714153051</v>
      </c>
      <c r="AD34" t="str">
        <f t="shared" si="4"/>
        <v>Landline</v>
      </c>
      <c r="AE34" t="str">
        <f t="shared" si="5"/>
        <v>Valid</v>
      </c>
    </row>
    <row r="35" spans="1:31" x14ac:dyDescent="0.3">
      <c r="A35" s="2" t="s">
        <v>128</v>
      </c>
      <c r="B35" s="2" t="s">
        <v>133</v>
      </c>
      <c r="C35" s="2" t="s">
        <v>130</v>
      </c>
      <c r="D35" s="2" t="s">
        <v>26</v>
      </c>
      <c r="E35" s="2" t="s">
        <v>130</v>
      </c>
      <c r="F35" s="2" t="s">
        <v>130</v>
      </c>
      <c r="G35" s="5" t="str" cm="1">
        <f t="array" ref="G35">IFERROR(INDEX(City_Lookup!$B$2:$B$297,MATCH(TRUE,ISNUMBER(SEARCH(City_Lookup!$A$2:$A$297,$F35&amp;" "&amp;$E35)),0)),"Not Available")</f>
        <v>Jhapa</v>
      </c>
      <c r="H35" s="5" t="str">
        <f>IFERROR(INDEX(City_Lookup!$E$2:$E$66,MATCH($G35,City_Lookup!$D$2:$D$66,0)),"Not Available")</f>
        <v>Koshi</v>
      </c>
      <c r="I35" s="2" t="s">
        <v>28</v>
      </c>
      <c r="J35" s="2" t="s">
        <v>39</v>
      </c>
      <c r="K35" s="2"/>
      <c r="L35" s="2" t="s">
        <v>40</v>
      </c>
      <c r="M35" s="2" t="s">
        <v>40</v>
      </c>
      <c r="N35" s="2" t="s">
        <v>31</v>
      </c>
      <c r="O35" s="2">
        <v>2</v>
      </c>
      <c r="P35" s="2" t="s">
        <v>27</v>
      </c>
      <c r="Q35" s="2" t="s">
        <v>132</v>
      </c>
      <c r="R35" s="2" t="s">
        <v>33</v>
      </c>
      <c r="S35" s="2" t="s">
        <v>27</v>
      </c>
      <c r="T35" s="2" t="s">
        <v>34</v>
      </c>
      <c r="U35" s="2" t="s">
        <v>35</v>
      </c>
      <c r="V35" s="2" t="s">
        <v>36</v>
      </c>
      <c r="W35" s="2" t="s">
        <v>37</v>
      </c>
      <c r="X35" s="4" t="s">
        <v>2486</v>
      </c>
      <c r="Y35" s="4" t="s">
        <v>2500</v>
      </c>
      <c r="Z35" t="str">
        <f t="shared" si="0"/>
        <v>97714153051</v>
      </c>
      <c r="AA35" t="str">
        <f t="shared" si="1"/>
        <v>14153051</v>
      </c>
      <c r="AB35" t="str">
        <f t="shared" si="2"/>
        <v>14153051</v>
      </c>
      <c r="AC35" t="str">
        <f t="shared" si="3"/>
        <v>+97714153051</v>
      </c>
      <c r="AD35" t="str">
        <f t="shared" si="4"/>
        <v>Landline</v>
      </c>
      <c r="AE35" t="str">
        <f t="shared" si="5"/>
        <v>Valid</v>
      </c>
    </row>
    <row r="36" spans="1:31" x14ac:dyDescent="0.3">
      <c r="A36" s="2" t="s">
        <v>134</v>
      </c>
      <c r="B36" s="2" t="s">
        <v>135</v>
      </c>
      <c r="C36" s="2" t="s">
        <v>136</v>
      </c>
      <c r="D36" s="2" t="s">
        <v>26</v>
      </c>
      <c r="E36" s="2" t="s">
        <v>136</v>
      </c>
      <c r="F36" s="2" t="s">
        <v>136</v>
      </c>
      <c r="G36" s="5" t="str" cm="1">
        <f t="array" ref="G36">IFERROR(INDEX(City_Lookup!$B$2:$B$297,MATCH(TRUE,ISNUMBER(SEARCH(City_Lookup!$A$2:$A$297,$F36&amp;" "&amp;$E36)),0)),"Not Available")</f>
        <v>Surkhet</v>
      </c>
      <c r="H36" s="5" t="str">
        <f>IFERROR(INDEX(City_Lookup!$E$2:$E$66,MATCH($G36,City_Lookup!$D$2:$D$66,0)),"Not Available")</f>
        <v>Karnali</v>
      </c>
      <c r="I36" s="2" t="s">
        <v>28</v>
      </c>
      <c r="J36" s="2" t="s">
        <v>29</v>
      </c>
      <c r="K36" s="2" t="s">
        <v>30</v>
      </c>
      <c r="L36" s="2"/>
      <c r="M36" s="2" t="s">
        <v>30</v>
      </c>
      <c r="N36" s="2" t="s">
        <v>31</v>
      </c>
      <c r="O36" s="2">
        <v>2</v>
      </c>
      <c r="P36" s="2" t="s">
        <v>27</v>
      </c>
      <c r="Q36" s="2" t="s">
        <v>139</v>
      </c>
      <c r="R36" s="2" t="s">
        <v>33</v>
      </c>
      <c r="S36" s="2" t="s">
        <v>27</v>
      </c>
      <c r="T36" s="2" t="s">
        <v>34</v>
      </c>
      <c r="U36" s="2" t="s">
        <v>35</v>
      </c>
      <c r="V36" s="2" t="s">
        <v>36</v>
      </c>
      <c r="W36" s="2" t="s">
        <v>37</v>
      </c>
      <c r="X36" s="4" t="s">
        <v>2486</v>
      </c>
      <c r="Y36" s="4" t="s">
        <v>2500</v>
      </c>
      <c r="Z36" t="str">
        <f t="shared" si="0"/>
        <v>97714153051</v>
      </c>
      <c r="AA36" t="str">
        <f t="shared" si="1"/>
        <v>14153051</v>
      </c>
      <c r="AB36" t="str">
        <f t="shared" si="2"/>
        <v>14153051</v>
      </c>
      <c r="AC36" t="str">
        <f t="shared" si="3"/>
        <v>+97714153051</v>
      </c>
      <c r="AD36" t="str">
        <f t="shared" si="4"/>
        <v>Landline</v>
      </c>
      <c r="AE36" t="str">
        <f t="shared" si="5"/>
        <v>Valid</v>
      </c>
    </row>
    <row r="37" spans="1:31" x14ac:dyDescent="0.3">
      <c r="A37" s="2" t="s">
        <v>134</v>
      </c>
      <c r="B37" s="2" t="s">
        <v>140</v>
      </c>
      <c r="C37" s="2" t="s">
        <v>136</v>
      </c>
      <c r="D37" s="2" t="s">
        <v>26</v>
      </c>
      <c r="E37" s="2" t="s">
        <v>136</v>
      </c>
      <c r="F37" s="2" t="s">
        <v>136</v>
      </c>
      <c r="G37" s="5" t="str" cm="1">
        <f t="array" ref="G37">IFERROR(INDEX(City_Lookup!$B$2:$B$297,MATCH(TRUE,ISNUMBER(SEARCH(City_Lookup!$A$2:$A$297,$F37&amp;" "&amp;$E37)),0)),"Not Available")</f>
        <v>Surkhet</v>
      </c>
      <c r="H37" s="5" t="str">
        <f>IFERROR(INDEX(City_Lookup!$E$2:$E$66,MATCH($G37,City_Lookup!$D$2:$D$66,0)),"Not Available")</f>
        <v>Karnali</v>
      </c>
      <c r="I37" s="2" t="s">
        <v>28</v>
      </c>
      <c r="J37" s="2" t="s">
        <v>39</v>
      </c>
      <c r="K37" s="2"/>
      <c r="L37" s="2" t="s">
        <v>40</v>
      </c>
      <c r="M37" s="2" t="s">
        <v>40</v>
      </c>
      <c r="N37" s="2" t="s">
        <v>31</v>
      </c>
      <c r="O37" s="2">
        <v>2</v>
      </c>
      <c r="P37" s="2" t="s">
        <v>27</v>
      </c>
      <c r="Q37" s="2" t="s">
        <v>139</v>
      </c>
      <c r="R37" s="2" t="s">
        <v>33</v>
      </c>
      <c r="S37" s="2" t="s">
        <v>27</v>
      </c>
      <c r="T37" s="2" t="s">
        <v>34</v>
      </c>
      <c r="U37" s="2" t="s">
        <v>35</v>
      </c>
      <c r="V37" s="2" t="s">
        <v>36</v>
      </c>
      <c r="W37" s="2" t="s">
        <v>37</v>
      </c>
      <c r="X37" s="4" t="s">
        <v>2486</v>
      </c>
      <c r="Y37" s="4" t="s">
        <v>2500</v>
      </c>
      <c r="Z37" t="str">
        <f t="shared" si="0"/>
        <v>97714153051</v>
      </c>
      <c r="AA37" t="str">
        <f t="shared" si="1"/>
        <v>14153051</v>
      </c>
      <c r="AB37" t="str">
        <f t="shared" si="2"/>
        <v>14153051</v>
      </c>
      <c r="AC37" t="str">
        <f t="shared" si="3"/>
        <v>+97714153051</v>
      </c>
      <c r="AD37" t="str">
        <f t="shared" si="4"/>
        <v>Landline</v>
      </c>
      <c r="AE37" t="str">
        <f t="shared" si="5"/>
        <v>Valid</v>
      </c>
    </row>
    <row r="38" spans="1:31" x14ac:dyDescent="0.3">
      <c r="A38" s="2" t="s">
        <v>141</v>
      </c>
      <c r="B38" s="2" t="s">
        <v>142</v>
      </c>
      <c r="C38" s="2" t="s">
        <v>143</v>
      </c>
      <c r="D38" s="2" t="s">
        <v>26</v>
      </c>
      <c r="E38" s="2" t="s">
        <v>143</v>
      </c>
      <c r="F38" s="2" t="s">
        <v>143</v>
      </c>
      <c r="G38" s="5" t="str" cm="1">
        <f t="array" ref="G38">IFERROR(INDEX(City_Lookup!$B$2:$B$297,MATCH(TRUE,ISNUMBER(SEARCH(City_Lookup!$A$2:$A$297,$F38&amp;" "&amp;$E38)),0)),"Not Available")</f>
        <v>Makwanpur</v>
      </c>
      <c r="H38" s="5" t="str">
        <f>IFERROR(INDEX(City_Lookup!$E$2:$E$66,MATCH($G38,City_Lookup!$D$2:$D$66,0)),"Not Available")</f>
        <v>Bagmati</v>
      </c>
      <c r="I38" s="2" t="s">
        <v>28</v>
      </c>
      <c r="J38" s="2" t="s">
        <v>29</v>
      </c>
      <c r="K38" s="2" t="s">
        <v>30</v>
      </c>
      <c r="L38" s="2"/>
      <c r="M38" s="2" t="s">
        <v>30</v>
      </c>
      <c r="N38" s="2" t="s">
        <v>31</v>
      </c>
      <c r="O38" s="2">
        <v>2</v>
      </c>
      <c r="P38" s="2" t="s">
        <v>27</v>
      </c>
      <c r="Q38" s="2" t="s">
        <v>146</v>
      </c>
      <c r="R38" s="2" t="s">
        <v>33</v>
      </c>
      <c r="S38" s="2" t="s">
        <v>27</v>
      </c>
      <c r="T38" s="2" t="s">
        <v>34</v>
      </c>
      <c r="U38" s="2" t="s">
        <v>35</v>
      </c>
      <c r="V38" s="2" t="s">
        <v>36</v>
      </c>
      <c r="W38" s="2" t="s">
        <v>37</v>
      </c>
      <c r="X38" s="4" t="s">
        <v>2486</v>
      </c>
      <c r="Y38" s="4" t="s">
        <v>2500</v>
      </c>
      <c r="Z38" t="str">
        <f t="shared" si="0"/>
        <v>97714153051</v>
      </c>
      <c r="AA38" t="str">
        <f t="shared" si="1"/>
        <v>14153051</v>
      </c>
      <c r="AB38" t="str">
        <f t="shared" si="2"/>
        <v>14153051</v>
      </c>
      <c r="AC38" t="str">
        <f t="shared" si="3"/>
        <v>+97714153051</v>
      </c>
      <c r="AD38" t="str">
        <f t="shared" si="4"/>
        <v>Landline</v>
      </c>
      <c r="AE38" t="str">
        <f t="shared" si="5"/>
        <v>Valid</v>
      </c>
    </row>
    <row r="39" spans="1:31" x14ac:dyDescent="0.3">
      <c r="A39" s="2" t="s">
        <v>141</v>
      </c>
      <c r="B39" s="2" t="s">
        <v>147</v>
      </c>
      <c r="C39" s="2" t="s">
        <v>143</v>
      </c>
      <c r="D39" s="2" t="s">
        <v>26</v>
      </c>
      <c r="E39" s="2" t="s">
        <v>143</v>
      </c>
      <c r="F39" s="2" t="s">
        <v>143</v>
      </c>
      <c r="G39" s="5" t="str" cm="1">
        <f t="array" ref="G39">IFERROR(INDEX(City_Lookup!$B$2:$B$297,MATCH(TRUE,ISNUMBER(SEARCH(City_Lookup!$A$2:$A$297,$F39&amp;" "&amp;$E39)),0)),"Not Available")</f>
        <v>Makwanpur</v>
      </c>
      <c r="H39" s="5" t="str">
        <f>IFERROR(INDEX(City_Lookup!$E$2:$E$66,MATCH($G39,City_Lookup!$D$2:$D$66,0)),"Not Available")</f>
        <v>Bagmati</v>
      </c>
      <c r="I39" s="2" t="s">
        <v>28</v>
      </c>
      <c r="J39" s="2" t="s">
        <v>39</v>
      </c>
      <c r="K39" s="2"/>
      <c r="L39" s="2" t="s">
        <v>40</v>
      </c>
      <c r="M39" s="2" t="s">
        <v>40</v>
      </c>
      <c r="N39" s="2" t="s">
        <v>31</v>
      </c>
      <c r="O39" s="2">
        <v>2</v>
      </c>
      <c r="P39" s="2" t="s">
        <v>27</v>
      </c>
      <c r="Q39" s="2" t="s">
        <v>146</v>
      </c>
      <c r="R39" s="2" t="s">
        <v>33</v>
      </c>
      <c r="S39" s="2" t="s">
        <v>27</v>
      </c>
      <c r="T39" s="2" t="s">
        <v>34</v>
      </c>
      <c r="U39" s="2" t="s">
        <v>35</v>
      </c>
      <c r="V39" s="2" t="s">
        <v>36</v>
      </c>
      <c r="W39" s="2" t="s">
        <v>37</v>
      </c>
      <c r="X39" s="4" t="s">
        <v>2486</v>
      </c>
      <c r="Y39" s="4" t="s">
        <v>2500</v>
      </c>
      <c r="Z39" t="str">
        <f t="shared" si="0"/>
        <v>97714153051</v>
      </c>
      <c r="AA39" t="str">
        <f t="shared" si="1"/>
        <v>14153051</v>
      </c>
      <c r="AB39" t="str">
        <f t="shared" si="2"/>
        <v>14153051</v>
      </c>
      <c r="AC39" t="str">
        <f t="shared" si="3"/>
        <v>+97714153051</v>
      </c>
      <c r="AD39" t="str">
        <f t="shared" si="4"/>
        <v>Landline</v>
      </c>
      <c r="AE39" t="str">
        <f t="shared" si="5"/>
        <v>Valid</v>
      </c>
    </row>
    <row r="40" spans="1:31" x14ac:dyDescent="0.3">
      <c r="A40" s="2" t="s">
        <v>148</v>
      </c>
      <c r="B40" s="2" t="s">
        <v>149</v>
      </c>
      <c r="C40" s="2" t="s">
        <v>150</v>
      </c>
      <c r="D40" s="2" t="s">
        <v>26</v>
      </c>
      <c r="E40" s="2" t="s">
        <v>150</v>
      </c>
      <c r="F40" s="2" t="s">
        <v>150</v>
      </c>
      <c r="G40" s="5" t="str" cm="1">
        <f t="array" ref="G40">IFERROR(INDEX(City_Lookup!$B$2:$B$297,MATCH(TRUE,ISNUMBER(SEARCH(City_Lookup!$A$2:$A$297,$F40&amp;" "&amp;$E40)),0)),"Not Available")</f>
        <v>Kaski</v>
      </c>
      <c r="H40" s="5" t="str">
        <f>IFERROR(INDEX(City_Lookup!$E$2:$E$66,MATCH($G40,City_Lookup!$D$2:$D$66,0)),"Not Available")</f>
        <v>Gandaki</v>
      </c>
      <c r="I40" s="2" t="s">
        <v>28</v>
      </c>
      <c r="J40" s="2" t="s">
        <v>29</v>
      </c>
      <c r="K40" s="2" t="s">
        <v>30</v>
      </c>
      <c r="L40" s="2"/>
      <c r="M40" s="2" t="s">
        <v>30</v>
      </c>
      <c r="N40" s="2" t="s">
        <v>31</v>
      </c>
      <c r="O40" s="2">
        <v>2</v>
      </c>
      <c r="P40" s="2" t="s">
        <v>27</v>
      </c>
      <c r="Q40" s="2" t="s">
        <v>151</v>
      </c>
      <c r="R40" s="2" t="s">
        <v>33</v>
      </c>
      <c r="S40" s="2" t="s">
        <v>27</v>
      </c>
      <c r="T40" s="2" t="s">
        <v>34</v>
      </c>
      <c r="U40" s="2" t="s">
        <v>35</v>
      </c>
      <c r="V40" s="2" t="s">
        <v>36</v>
      </c>
      <c r="W40" s="2" t="s">
        <v>37</v>
      </c>
      <c r="X40" s="4" t="s">
        <v>2486</v>
      </c>
      <c r="Y40" s="4" t="s">
        <v>2500</v>
      </c>
      <c r="Z40" t="str">
        <f t="shared" si="0"/>
        <v>97714153051</v>
      </c>
      <c r="AA40" t="str">
        <f t="shared" si="1"/>
        <v>14153051</v>
      </c>
      <c r="AB40" t="str">
        <f t="shared" si="2"/>
        <v>14153051</v>
      </c>
      <c r="AC40" t="str">
        <f t="shared" si="3"/>
        <v>+97714153051</v>
      </c>
      <c r="AD40" t="str">
        <f t="shared" si="4"/>
        <v>Landline</v>
      </c>
      <c r="AE40" t="str">
        <f t="shared" si="5"/>
        <v>Valid</v>
      </c>
    </row>
    <row r="41" spans="1:31" x14ac:dyDescent="0.3">
      <c r="A41" s="2" t="s">
        <v>148</v>
      </c>
      <c r="B41" s="2" t="s">
        <v>152</v>
      </c>
      <c r="C41" s="2" t="s">
        <v>150</v>
      </c>
      <c r="D41" s="2" t="s">
        <v>26</v>
      </c>
      <c r="E41" s="2" t="s">
        <v>150</v>
      </c>
      <c r="F41" s="2" t="s">
        <v>150</v>
      </c>
      <c r="G41" s="5" t="str" cm="1">
        <f t="array" ref="G41">IFERROR(INDEX(City_Lookup!$B$2:$B$297,MATCH(TRUE,ISNUMBER(SEARCH(City_Lookup!$A$2:$A$297,$F41&amp;" "&amp;$E41)),0)),"Not Available")</f>
        <v>Kaski</v>
      </c>
      <c r="H41" s="5" t="str">
        <f>IFERROR(INDEX(City_Lookup!$E$2:$E$66,MATCH($G41,City_Lookup!$D$2:$D$66,0)),"Not Available")</f>
        <v>Gandaki</v>
      </c>
      <c r="I41" s="2" t="s">
        <v>28</v>
      </c>
      <c r="J41" s="2" t="s">
        <v>39</v>
      </c>
      <c r="K41" s="2"/>
      <c r="L41" s="2" t="s">
        <v>40</v>
      </c>
      <c r="M41" s="2" t="s">
        <v>40</v>
      </c>
      <c r="N41" s="2" t="s">
        <v>31</v>
      </c>
      <c r="O41" s="2">
        <v>2</v>
      </c>
      <c r="P41" s="2" t="s">
        <v>27</v>
      </c>
      <c r="Q41" s="2" t="s">
        <v>151</v>
      </c>
      <c r="R41" s="2" t="s">
        <v>33</v>
      </c>
      <c r="S41" s="2" t="s">
        <v>27</v>
      </c>
      <c r="T41" s="2" t="s">
        <v>34</v>
      </c>
      <c r="U41" s="2" t="s">
        <v>35</v>
      </c>
      <c r="V41" s="2" t="s">
        <v>36</v>
      </c>
      <c r="W41" s="2" t="s">
        <v>37</v>
      </c>
      <c r="X41" s="4" t="s">
        <v>2486</v>
      </c>
      <c r="Y41" s="4" t="s">
        <v>2500</v>
      </c>
      <c r="Z41" t="str">
        <f t="shared" si="0"/>
        <v>97714153051</v>
      </c>
      <c r="AA41" t="str">
        <f t="shared" si="1"/>
        <v>14153051</v>
      </c>
      <c r="AB41" t="str">
        <f t="shared" si="2"/>
        <v>14153051</v>
      </c>
      <c r="AC41" t="str">
        <f t="shared" si="3"/>
        <v>+97714153051</v>
      </c>
      <c r="AD41" t="str">
        <f t="shared" si="4"/>
        <v>Landline</v>
      </c>
      <c r="AE41" t="str">
        <f t="shared" si="5"/>
        <v>Valid</v>
      </c>
    </row>
    <row r="42" spans="1:31" x14ac:dyDescent="0.3">
      <c r="A42" s="2" t="s">
        <v>153</v>
      </c>
      <c r="B42" s="2" t="s">
        <v>154</v>
      </c>
      <c r="C42" s="2" t="s">
        <v>155</v>
      </c>
      <c r="D42" s="2" t="s">
        <v>26</v>
      </c>
      <c r="E42" s="2" t="s">
        <v>155</v>
      </c>
      <c r="F42" s="2" t="s">
        <v>155</v>
      </c>
      <c r="G42" s="5" t="str" cm="1">
        <f t="array" ref="G42">IFERROR(INDEX(City_Lookup!$B$2:$B$297,MATCH(TRUE,ISNUMBER(SEARCH(City_Lookup!$A$2:$A$297,$F42&amp;" "&amp;$E42)),0)),"Not Available")</f>
        <v>Rupandehi</v>
      </c>
      <c r="H42" s="5" t="str">
        <f>IFERROR(INDEX(City_Lookup!$E$2:$E$66,MATCH($G42,City_Lookup!$D$2:$D$66,0)),"Not Available")</f>
        <v>Lumbini</v>
      </c>
      <c r="I42" s="2" t="s">
        <v>28</v>
      </c>
      <c r="J42" s="2" t="s">
        <v>29</v>
      </c>
      <c r="K42" s="2" t="s">
        <v>30</v>
      </c>
      <c r="L42" s="2"/>
      <c r="M42" s="2" t="s">
        <v>30</v>
      </c>
      <c r="N42" s="2" t="s">
        <v>31</v>
      </c>
      <c r="O42" s="2">
        <v>2</v>
      </c>
      <c r="P42" s="2" t="s">
        <v>27</v>
      </c>
      <c r="Q42" s="2" t="s">
        <v>158</v>
      </c>
      <c r="R42" s="2" t="s">
        <v>33</v>
      </c>
      <c r="S42" s="2" t="s">
        <v>27</v>
      </c>
      <c r="T42" s="2" t="s">
        <v>34</v>
      </c>
      <c r="U42" s="2" t="s">
        <v>35</v>
      </c>
      <c r="V42" s="2" t="s">
        <v>36</v>
      </c>
      <c r="W42" s="2" t="s">
        <v>37</v>
      </c>
      <c r="X42" s="4" t="s">
        <v>2486</v>
      </c>
      <c r="Y42" s="4" t="s">
        <v>2500</v>
      </c>
      <c r="Z42" t="str">
        <f t="shared" si="0"/>
        <v>97714153051</v>
      </c>
      <c r="AA42" t="str">
        <f t="shared" si="1"/>
        <v>14153051</v>
      </c>
      <c r="AB42" t="str">
        <f t="shared" si="2"/>
        <v>14153051</v>
      </c>
      <c r="AC42" t="str">
        <f t="shared" si="3"/>
        <v>+97714153051</v>
      </c>
      <c r="AD42" t="str">
        <f t="shared" si="4"/>
        <v>Landline</v>
      </c>
      <c r="AE42" t="str">
        <f t="shared" si="5"/>
        <v>Valid</v>
      </c>
    </row>
    <row r="43" spans="1:31" x14ac:dyDescent="0.3">
      <c r="A43" s="2" t="s">
        <v>153</v>
      </c>
      <c r="B43" s="2" t="s">
        <v>159</v>
      </c>
      <c r="C43" s="2" t="s">
        <v>155</v>
      </c>
      <c r="D43" s="2" t="s">
        <v>26</v>
      </c>
      <c r="E43" s="2" t="s">
        <v>155</v>
      </c>
      <c r="F43" s="2" t="s">
        <v>155</v>
      </c>
      <c r="G43" s="5" t="str" cm="1">
        <f t="array" ref="G43">IFERROR(INDEX(City_Lookup!$B$2:$B$297,MATCH(TRUE,ISNUMBER(SEARCH(City_Lookup!$A$2:$A$297,$F43&amp;" "&amp;$E43)),0)),"Not Available")</f>
        <v>Rupandehi</v>
      </c>
      <c r="H43" s="5" t="str">
        <f>IFERROR(INDEX(City_Lookup!$E$2:$E$66,MATCH($G43,City_Lookup!$D$2:$D$66,0)),"Not Available")</f>
        <v>Lumbini</v>
      </c>
      <c r="I43" s="2" t="s">
        <v>28</v>
      </c>
      <c r="J43" s="2" t="s">
        <v>39</v>
      </c>
      <c r="K43" s="2"/>
      <c r="L43" s="2" t="s">
        <v>40</v>
      </c>
      <c r="M43" s="2" t="s">
        <v>40</v>
      </c>
      <c r="N43" s="2" t="s">
        <v>31</v>
      </c>
      <c r="O43" s="2">
        <v>2</v>
      </c>
      <c r="P43" s="2" t="s">
        <v>27</v>
      </c>
      <c r="Q43" s="2" t="s">
        <v>158</v>
      </c>
      <c r="R43" s="2" t="s">
        <v>33</v>
      </c>
      <c r="S43" s="2" t="s">
        <v>27</v>
      </c>
      <c r="T43" s="2" t="s">
        <v>34</v>
      </c>
      <c r="U43" s="2" t="s">
        <v>35</v>
      </c>
      <c r="V43" s="2" t="s">
        <v>36</v>
      </c>
      <c r="W43" s="2" t="s">
        <v>37</v>
      </c>
      <c r="X43" s="4" t="s">
        <v>2486</v>
      </c>
      <c r="Y43" s="4" t="s">
        <v>2500</v>
      </c>
      <c r="Z43" t="str">
        <f t="shared" si="0"/>
        <v>97714153051</v>
      </c>
      <c r="AA43" t="str">
        <f t="shared" si="1"/>
        <v>14153051</v>
      </c>
      <c r="AB43" t="str">
        <f t="shared" si="2"/>
        <v>14153051</v>
      </c>
      <c r="AC43" t="str">
        <f t="shared" si="3"/>
        <v>+97714153051</v>
      </c>
      <c r="AD43" t="str">
        <f t="shared" si="4"/>
        <v>Landline</v>
      </c>
      <c r="AE43" t="str">
        <f t="shared" si="5"/>
        <v>Valid</v>
      </c>
    </row>
    <row r="44" spans="1:31" x14ac:dyDescent="0.3">
      <c r="A44" s="2" t="s">
        <v>160</v>
      </c>
      <c r="B44" s="2" t="s">
        <v>161</v>
      </c>
      <c r="C44" s="2" t="s">
        <v>162</v>
      </c>
      <c r="D44" s="2" t="s">
        <v>26</v>
      </c>
      <c r="E44" s="2" t="s">
        <v>162</v>
      </c>
      <c r="F44" s="2" t="s">
        <v>162</v>
      </c>
      <c r="G44" s="5" t="str" cm="1">
        <f t="array" ref="G44">IFERROR(INDEX(City_Lookup!$B$2:$B$297,MATCH(TRUE,ISNUMBER(SEARCH(City_Lookup!$A$2:$A$297,$F44&amp;" "&amp;$E44)),0)),"Not Available")</f>
        <v>Sunsari</v>
      </c>
      <c r="H44" s="5" t="str">
        <f>IFERROR(INDEX(City_Lookup!$E$2:$E$66,MATCH($G44,City_Lookup!$D$2:$D$66,0)),"Not Available")</f>
        <v>Koshi</v>
      </c>
      <c r="I44" s="2" t="s">
        <v>28</v>
      </c>
      <c r="J44" s="2" t="s">
        <v>29</v>
      </c>
      <c r="K44" s="2" t="s">
        <v>30</v>
      </c>
      <c r="L44" s="2"/>
      <c r="M44" s="2" t="s">
        <v>30</v>
      </c>
      <c r="N44" s="2" t="s">
        <v>31</v>
      </c>
      <c r="O44" s="2">
        <v>2</v>
      </c>
      <c r="P44" s="2" t="s">
        <v>27</v>
      </c>
      <c r="Q44" s="2" t="s">
        <v>164</v>
      </c>
      <c r="R44" s="2" t="s">
        <v>33</v>
      </c>
      <c r="S44" s="2" t="s">
        <v>27</v>
      </c>
      <c r="T44" s="2" t="s">
        <v>34</v>
      </c>
      <c r="U44" s="2" t="s">
        <v>35</v>
      </c>
      <c r="V44" s="2" t="s">
        <v>36</v>
      </c>
      <c r="W44" s="2" t="s">
        <v>37</v>
      </c>
      <c r="X44" s="4" t="s">
        <v>2486</v>
      </c>
      <c r="Y44" s="4" t="s">
        <v>2500</v>
      </c>
      <c r="Z44" t="str">
        <f t="shared" si="0"/>
        <v>97714153051</v>
      </c>
      <c r="AA44" t="str">
        <f t="shared" si="1"/>
        <v>14153051</v>
      </c>
      <c r="AB44" t="str">
        <f t="shared" si="2"/>
        <v>14153051</v>
      </c>
      <c r="AC44" t="str">
        <f t="shared" si="3"/>
        <v>+97714153051</v>
      </c>
      <c r="AD44" t="str">
        <f t="shared" si="4"/>
        <v>Landline</v>
      </c>
      <c r="AE44" t="str">
        <f t="shared" si="5"/>
        <v>Valid</v>
      </c>
    </row>
    <row r="45" spans="1:31" x14ac:dyDescent="0.3">
      <c r="A45" s="2" t="s">
        <v>160</v>
      </c>
      <c r="B45" s="2" t="s">
        <v>165</v>
      </c>
      <c r="C45" s="2" t="s">
        <v>162</v>
      </c>
      <c r="D45" s="2" t="s">
        <v>26</v>
      </c>
      <c r="E45" s="2" t="s">
        <v>162</v>
      </c>
      <c r="F45" s="2" t="s">
        <v>162</v>
      </c>
      <c r="G45" s="5" t="str" cm="1">
        <f t="array" ref="G45">IFERROR(INDEX(City_Lookup!$B$2:$B$297,MATCH(TRUE,ISNUMBER(SEARCH(City_Lookup!$A$2:$A$297,$F45&amp;" "&amp;$E45)),0)),"Not Available")</f>
        <v>Sunsari</v>
      </c>
      <c r="H45" s="5" t="str">
        <f>IFERROR(INDEX(City_Lookup!$E$2:$E$66,MATCH($G45,City_Lookup!$D$2:$D$66,0)),"Not Available")</f>
        <v>Koshi</v>
      </c>
      <c r="I45" s="2" t="s">
        <v>28</v>
      </c>
      <c r="J45" s="2" t="s">
        <v>39</v>
      </c>
      <c r="K45" s="2"/>
      <c r="L45" s="2" t="s">
        <v>40</v>
      </c>
      <c r="M45" s="2" t="s">
        <v>40</v>
      </c>
      <c r="N45" s="2" t="s">
        <v>31</v>
      </c>
      <c r="O45" s="2">
        <v>2</v>
      </c>
      <c r="P45" s="2" t="s">
        <v>27</v>
      </c>
      <c r="Q45" s="2" t="s">
        <v>164</v>
      </c>
      <c r="R45" s="2" t="s">
        <v>33</v>
      </c>
      <c r="S45" s="2" t="s">
        <v>27</v>
      </c>
      <c r="T45" s="2" t="s">
        <v>34</v>
      </c>
      <c r="U45" s="2" t="s">
        <v>35</v>
      </c>
      <c r="V45" s="2" t="s">
        <v>36</v>
      </c>
      <c r="W45" s="2" t="s">
        <v>37</v>
      </c>
      <c r="X45" s="4" t="s">
        <v>2486</v>
      </c>
      <c r="Y45" s="4" t="s">
        <v>2500</v>
      </c>
      <c r="Z45" t="str">
        <f t="shared" si="0"/>
        <v>97714153051</v>
      </c>
      <c r="AA45" t="str">
        <f t="shared" si="1"/>
        <v>14153051</v>
      </c>
      <c r="AB45" t="str">
        <f t="shared" si="2"/>
        <v>14153051</v>
      </c>
      <c r="AC45" t="str">
        <f t="shared" si="3"/>
        <v>+97714153051</v>
      </c>
      <c r="AD45" t="str">
        <f t="shared" si="4"/>
        <v>Landline</v>
      </c>
      <c r="AE45" t="str">
        <f t="shared" si="5"/>
        <v>Valid</v>
      </c>
    </row>
    <row r="46" spans="1:31" x14ac:dyDescent="0.3">
      <c r="A46" s="2" t="s">
        <v>166</v>
      </c>
      <c r="B46" s="2" t="s">
        <v>167</v>
      </c>
      <c r="C46" s="2" t="s">
        <v>168</v>
      </c>
      <c r="D46" s="2" t="s">
        <v>26</v>
      </c>
      <c r="E46" s="2" t="s">
        <v>168</v>
      </c>
      <c r="F46" s="2" t="s">
        <v>168</v>
      </c>
      <c r="G46" s="5" t="str" cm="1">
        <f t="array" ref="G46">IFERROR(INDEX(City_Lookup!$B$2:$B$297,MATCH(TRUE,ISNUMBER(SEARCH(City_Lookup!$A$2:$A$297,$F46&amp;" "&amp;$E46)),0)),"Not Available")</f>
        <v>Morang</v>
      </c>
      <c r="H46" s="5" t="str">
        <f>IFERROR(INDEX(City_Lookup!$E$2:$E$66,MATCH($G46,City_Lookup!$D$2:$D$66,0)),"Not Available")</f>
        <v>Koshi</v>
      </c>
      <c r="I46" s="2" t="s">
        <v>28</v>
      </c>
      <c r="J46" s="2" t="s">
        <v>29</v>
      </c>
      <c r="K46" s="2" t="s">
        <v>30</v>
      </c>
      <c r="L46" s="2"/>
      <c r="M46" s="2" t="s">
        <v>30</v>
      </c>
      <c r="N46" s="2" t="s">
        <v>31</v>
      </c>
      <c r="O46" s="2">
        <v>2</v>
      </c>
      <c r="P46" s="2" t="s">
        <v>27</v>
      </c>
      <c r="Q46" s="2" t="s">
        <v>171</v>
      </c>
      <c r="R46" s="2" t="s">
        <v>33</v>
      </c>
      <c r="S46" s="2" t="s">
        <v>27</v>
      </c>
      <c r="T46" s="2" t="s">
        <v>34</v>
      </c>
      <c r="U46" s="2" t="s">
        <v>35</v>
      </c>
      <c r="V46" s="2" t="s">
        <v>36</v>
      </c>
      <c r="W46" s="2" t="s">
        <v>37</v>
      </c>
      <c r="X46" s="4" t="s">
        <v>2486</v>
      </c>
      <c r="Y46" s="4" t="s">
        <v>2500</v>
      </c>
      <c r="Z46" t="str">
        <f t="shared" si="0"/>
        <v>97714153051</v>
      </c>
      <c r="AA46" t="str">
        <f t="shared" si="1"/>
        <v>14153051</v>
      </c>
      <c r="AB46" t="str">
        <f t="shared" si="2"/>
        <v>14153051</v>
      </c>
      <c r="AC46" t="str">
        <f t="shared" si="3"/>
        <v>+97714153051</v>
      </c>
      <c r="AD46" t="str">
        <f t="shared" si="4"/>
        <v>Landline</v>
      </c>
      <c r="AE46" t="str">
        <f t="shared" si="5"/>
        <v>Valid</v>
      </c>
    </row>
    <row r="47" spans="1:31" x14ac:dyDescent="0.3">
      <c r="A47" s="2" t="s">
        <v>166</v>
      </c>
      <c r="B47" s="2" t="s">
        <v>172</v>
      </c>
      <c r="C47" s="2" t="s">
        <v>168</v>
      </c>
      <c r="D47" s="2" t="s">
        <v>26</v>
      </c>
      <c r="E47" s="2" t="s">
        <v>168</v>
      </c>
      <c r="F47" s="2" t="s">
        <v>168</v>
      </c>
      <c r="G47" s="5" t="str" cm="1">
        <f t="array" ref="G47">IFERROR(INDEX(City_Lookup!$B$2:$B$297,MATCH(TRUE,ISNUMBER(SEARCH(City_Lookup!$A$2:$A$297,$F47&amp;" "&amp;$E47)),0)),"Not Available")</f>
        <v>Morang</v>
      </c>
      <c r="H47" s="5" t="str">
        <f>IFERROR(INDEX(City_Lookup!$E$2:$E$66,MATCH($G47,City_Lookup!$D$2:$D$66,0)),"Not Available")</f>
        <v>Koshi</v>
      </c>
      <c r="I47" s="2" t="s">
        <v>28</v>
      </c>
      <c r="J47" s="2" t="s">
        <v>39</v>
      </c>
      <c r="K47" s="2"/>
      <c r="L47" s="2" t="s">
        <v>40</v>
      </c>
      <c r="M47" s="2" t="s">
        <v>40</v>
      </c>
      <c r="N47" s="2" t="s">
        <v>31</v>
      </c>
      <c r="O47" s="2">
        <v>2</v>
      </c>
      <c r="P47" s="2" t="s">
        <v>27</v>
      </c>
      <c r="Q47" s="2" t="s">
        <v>171</v>
      </c>
      <c r="R47" s="2" t="s">
        <v>33</v>
      </c>
      <c r="S47" s="2" t="s">
        <v>27</v>
      </c>
      <c r="T47" s="2" t="s">
        <v>34</v>
      </c>
      <c r="U47" s="2" t="s">
        <v>35</v>
      </c>
      <c r="V47" s="2" t="s">
        <v>36</v>
      </c>
      <c r="W47" s="2" t="s">
        <v>37</v>
      </c>
      <c r="X47" s="4" t="s">
        <v>2486</v>
      </c>
      <c r="Y47" s="4" t="s">
        <v>2500</v>
      </c>
      <c r="Z47" t="str">
        <f t="shared" si="0"/>
        <v>97714153051</v>
      </c>
      <c r="AA47" t="str">
        <f t="shared" si="1"/>
        <v>14153051</v>
      </c>
      <c r="AB47" t="str">
        <f t="shared" si="2"/>
        <v>14153051</v>
      </c>
      <c r="AC47" t="str">
        <f t="shared" si="3"/>
        <v>+97714153051</v>
      </c>
      <c r="AD47" t="str">
        <f t="shared" si="4"/>
        <v>Landline</v>
      </c>
      <c r="AE47" t="str">
        <f t="shared" si="5"/>
        <v>Valid</v>
      </c>
    </row>
    <row r="48" spans="1:31" x14ac:dyDescent="0.3">
      <c r="A48" s="2" t="s">
        <v>173</v>
      </c>
      <c r="B48" s="2" t="s">
        <v>174</v>
      </c>
      <c r="C48" s="2" t="s">
        <v>175</v>
      </c>
      <c r="D48" s="2" t="s">
        <v>26</v>
      </c>
      <c r="E48" s="2" t="s">
        <v>175</v>
      </c>
      <c r="F48" s="2" t="s">
        <v>175</v>
      </c>
      <c r="G48" s="5" t="str" cm="1">
        <f t="array" ref="G48">IFERROR(INDEX(City_Lookup!$B$2:$B$297,MATCH(TRUE,ISNUMBER(SEARCH(City_Lookup!$A$2:$A$297,$F48&amp;" "&amp;$E48)),0)),"Not Available")</f>
        <v>Banke</v>
      </c>
      <c r="H48" s="5" t="str">
        <f>IFERROR(INDEX(City_Lookup!$E$2:$E$66,MATCH($G48,City_Lookup!$D$2:$D$66,0)),"Not Available")</f>
        <v>Lumbini</v>
      </c>
      <c r="I48" s="2" t="s">
        <v>28</v>
      </c>
      <c r="J48" s="2" t="s">
        <v>29</v>
      </c>
      <c r="K48" s="2" t="s">
        <v>30</v>
      </c>
      <c r="L48" s="2"/>
      <c r="M48" s="2" t="s">
        <v>30</v>
      </c>
      <c r="N48" s="2" t="s">
        <v>31</v>
      </c>
      <c r="O48" s="2">
        <v>2</v>
      </c>
      <c r="P48" s="2" t="s">
        <v>27</v>
      </c>
      <c r="Q48" s="2" t="s">
        <v>178</v>
      </c>
      <c r="R48" s="2" t="s">
        <v>33</v>
      </c>
      <c r="S48" s="2" t="s">
        <v>27</v>
      </c>
      <c r="T48" s="2" t="s">
        <v>34</v>
      </c>
      <c r="U48" s="2" t="s">
        <v>35</v>
      </c>
      <c r="V48" s="2" t="s">
        <v>36</v>
      </c>
      <c r="W48" s="2" t="s">
        <v>37</v>
      </c>
      <c r="X48" s="4" t="s">
        <v>2486</v>
      </c>
      <c r="Y48" s="4" t="s">
        <v>2500</v>
      </c>
      <c r="Z48" t="str">
        <f t="shared" si="0"/>
        <v>97714153051</v>
      </c>
      <c r="AA48" t="str">
        <f t="shared" si="1"/>
        <v>14153051</v>
      </c>
      <c r="AB48" t="str">
        <f t="shared" si="2"/>
        <v>14153051</v>
      </c>
      <c r="AC48" t="str">
        <f t="shared" si="3"/>
        <v>+97714153051</v>
      </c>
      <c r="AD48" t="str">
        <f t="shared" si="4"/>
        <v>Landline</v>
      </c>
      <c r="AE48" t="str">
        <f t="shared" si="5"/>
        <v>Valid</v>
      </c>
    </row>
    <row r="49" spans="1:31" x14ac:dyDescent="0.3">
      <c r="A49" s="2" t="s">
        <v>173</v>
      </c>
      <c r="B49" s="2" t="s">
        <v>179</v>
      </c>
      <c r="C49" s="2" t="s">
        <v>175</v>
      </c>
      <c r="D49" s="2" t="s">
        <v>26</v>
      </c>
      <c r="E49" s="2" t="s">
        <v>175</v>
      </c>
      <c r="F49" s="2" t="s">
        <v>175</v>
      </c>
      <c r="G49" s="5" t="str" cm="1">
        <f t="array" ref="G49">IFERROR(INDEX(City_Lookup!$B$2:$B$297,MATCH(TRUE,ISNUMBER(SEARCH(City_Lookup!$A$2:$A$297,$F49&amp;" "&amp;$E49)),0)),"Not Available")</f>
        <v>Banke</v>
      </c>
      <c r="H49" s="5" t="str">
        <f>IFERROR(INDEX(City_Lookup!$E$2:$E$66,MATCH($G49,City_Lookup!$D$2:$D$66,0)),"Not Available")</f>
        <v>Lumbini</v>
      </c>
      <c r="I49" s="2" t="s">
        <v>28</v>
      </c>
      <c r="J49" s="2" t="s">
        <v>39</v>
      </c>
      <c r="K49" s="2"/>
      <c r="L49" s="2" t="s">
        <v>40</v>
      </c>
      <c r="M49" s="2" t="s">
        <v>40</v>
      </c>
      <c r="N49" s="2" t="s">
        <v>31</v>
      </c>
      <c r="O49" s="2">
        <v>2</v>
      </c>
      <c r="P49" s="2" t="s">
        <v>27</v>
      </c>
      <c r="Q49" s="2" t="s">
        <v>178</v>
      </c>
      <c r="R49" s="2" t="s">
        <v>33</v>
      </c>
      <c r="S49" s="2" t="s">
        <v>27</v>
      </c>
      <c r="T49" s="2" t="s">
        <v>34</v>
      </c>
      <c r="U49" s="2" t="s">
        <v>35</v>
      </c>
      <c r="V49" s="2" t="s">
        <v>36</v>
      </c>
      <c r="W49" s="2" t="s">
        <v>37</v>
      </c>
      <c r="X49" s="4" t="s">
        <v>2486</v>
      </c>
      <c r="Y49" s="4" t="s">
        <v>2500</v>
      </c>
      <c r="Z49" t="str">
        <f t="shared" si="0"/>
        <v>97714153051</v>
      </c>
      <c r="AA49" t="str">
        <f t="shared" si="1"/>
        <v>14153051</v>
      </c>
      <c r="AB49" t="str">
        <f t="shared" si="2"/>
        <v>14153051</v>
      </c>
      <c r="AC49" t="str">
        <f t="shared" si="3"/>
        <v>+97714153051</v>
      </c>
      <c r="AD49" t="str">
        <f t="shared" si="4"/>
        <v>Landline</v>
      </c>
      <c r="AE49" t="str">
        <f t="shared" si="5"/>
        <v>Valid</v>
      </c>
    </row>
    <row r="50" spans="1:31" x14ac:dyDescent="0.3">
      <c r="A50" s="2" t="s">
        <v>180</v>
      </c>
      <c r="B50" s="2" t="s">
        <v>181</v>
      </c>
      <c r="C50" s="2" t="s">
        <v>182</v>
      </c>
      <c r="D50" s="2" t="s">
        <v>26</v>
      </c>
      <c r="E50" s="2" t="s">
        <v>182</v>
      </c>
      <c r="F50" s="2" t="s">
        <v>182</v>
      </c>
      <c r="G50" s="5" t="str" cm="1">
        <f t="array" ref="G50">IFERROR(INDEX(City_Lookup!$B$2:$B$297,MATCH(TRUE,ISNUMBER(SEARCH(City_Lookup!$A$2:$A$297,$F50&amp;" "&amp;$E50)),0)),"Not Available")</f>
        <v>Kailali</v>
      </c>
      <c r="H50" s="5" t="str">
        <f>IFERROR(INDEX(City_Lookup!$E$2:$E$66,MATCH($G50,City_Lookup!$D$2:$D$66,0)),"Not Available")</f>
        <v>Sudurpashchim</v>
      </c>
      <c r="I50" s="2" t="s">
        <v>28</v>
      </c>
      <c r="J50" s="2" t="s">
        <v>29</v>
      </c>
      <c r="K50" s="2" t="s">
        <v>30</v>
      </c>
      <c r="L50" s="2"/>
      <c r="M50" s="2" t="s">
        <v>30</v>
      </c>
      <c r="N50" s="2" t="s">
        <v>31</v>
      </c>
      <c r="O50" s="2">
        <v>2</v>
      </c>
      <c r="P50" s="2" t="s">
        <v>27</v>
      </c>
      <c r="Q50" s="2" t="s">
        <v>185</v>
      </c>
      <c r="R50" s="2" t="s">
        <v>33</v>
      </c>
      <c r="S50" s="2" t="s">
        <v>27</v>
      </c>
      <c r="T50" s="2" t="s">
        <v>34</v>
      </c>
      <c r="U50" s="2" t="s">
        <v>35</v>
      </c>
      <c r="V50" s="2" t="s">
        <v>36</v>
      </c>
      <c r="W50" s="2" t="s">
        <v>37</v>
      </c>
      <c r="X50" s="4" t="s">
        <v>2486</v>
      </c>
      <c r="Y50" s="4" t="s">
        <v>2500</v>
      </c>
      <c r="Z50" t="str">
        <f t="shared" si="0"/>
        <v>97714153051</v>
      </c>
      <c r="AA50" t="str">
        <f t="shared" si="1"/>
        <v>14153051</v>
      </c>
      <c r="AB50" t="str">
        <f t="shared" si="2"/>
        <v>14153051</v>
      </c>
      <c r="AC50" t="str">
        <f t="shared" si="3"/>
        <v>+97714153051</v>
      </c>
      <c r="AD50" t="str">
        <f t="shared" si="4"/>
        <v>Landline</v>
      </c>
      <c r="AE50" t="str">
        <f t="shared" si="5"/>
        <v>Valid</v>
      </c>
    </row>
    <row r="51" spans="1:31" x14ac:dyDescent="0.3">
      <c r="A51" s="2" t="s">
        <v>180</v>
      </c>
      <c r="B51" s="2" t="s">
        <v>186</v>
      </c>
      <c r="C51" s="2" t="s">
        <v>182</v>
      </c>
      <c r="D51" s="2" t="s">
        <v>26</v>
      </c>
      <c r="E51" s="2" t="s">
        <v>182</v>
      </c>
      <c r="F51" s="2" t="s">
        <v>182</v>
      </c>
      <c r="G51" s="5" t="str" cm="1">
        <f t="array" ref="G51">IFERROR(INDEX(City_Lookup!$B$2:$B$297,MATCH(TRUE,ISNUMBER(SEARCH(City_Lookup!$A$2:$A$297,$F51&amp;" "&amp;$E51)),0)),"Not Available")</f>
        <v>Kailali</v>
      </c>
      <c r="H51" s="5" t="str">
        <f>IFERROR(INDEX(City_Lookup!$E$2:$E$66,MATCH($G51,City_Lookup!$D$2:$D$66,0)),"Not Available")</f>
        <v>Sudurpashchim</v>
      </c>
      <c r="I51" s="2" t="s">
        <v>28</v>
      </c>
      <c r="J51" s="2" t="s">
        <v>39</v>
      </c>
      <c r="K51" s="2"/>
      <c r="L51" s="2" t="s">
        <v>40</v>
      </c>
      <c r="M51" s="2" t="s">
        <v>40</v>
      </c>
      <c r="N51" s="2" t="s">
        <v>31</v>
      </c>
      <c r="O51" s="2">
        <v>2</v>
      </c>
      <c r="P51" s="2" t="s">
        <v>27</v>
      </c>
      <c r="Q51" s="2" t="s">
        <v>185</v>
      </c>
      <c r="R51" s="2" t="s">
        <v>33</v>
      </c>
      <c r="S51" s="2" t="s">
        <v>27</v>
      </c>
      <c r="T51" s="2" t="s">
        <v>34</v>
      </c>
      <c r="U51" s="2" t="s">
        <v>35</v>
      </c>
      <c r="V51" s="2" t="s">
        <v>36</v>
      </c>
      <c r="W51" s="2" t="s">
        <v>37</v>
      </c>
      <c r="X51" s="4" t="s">
        <v>2486</v>
      </c>
      <c r="Y51" s="4" t="s">
        <v>2500</v>
      </c>
      <c r="Z51" t="str">
        <f t="shared" si="0"/>
        <v>97714153051</v>
      </c>
      <c r="AA51" t="str">
        <f t="shared" si="1"/>
        <v>14153051</v>
      </c>
      <c r="AB51" t="str">
        <f t="shared" si="2"/>
        <v>14153051</v>
      </c>
      <c r="AC51" t="str">
        <f t="shared" si="3"/>
        <v>+97714153051</v>
      </c>
      <c r="AD51" t="str">
        <f t="shared" si="4"/>
        <v>Landline</v>
      </c>
      <c r="AE51" t="str">
        <f t="shared" si="5"/>
        <v>Valid</v>
      </c>
    </row>
    <row r="52" spans="1:31" x14ac:dyDescent="0.3">
      <c r="A52" s="2" t="s">
        <v>187</v>
      </c>
      <c r="B52" s="2" t="s">
        <v>188</v>
      </c>
      <c r="C52" s="2" t="s">
        <v>189</v>
      </c>
      <c r="D52" s="2" t="s">
        <v>26</v>
      </c>
      <c r="E52" s="2" t="s">
        <v>189</v>
      </c>
      <c r="F52" s="2" t="s">
        <v>189</v>
      </c>
      <c r="G52" s="5" t="str" cm="1">
        <f t="array" ref="G52">IFERROR(INDEX(City_Lookup!$B$2:$B$297,MATCH(TRUE,ISNUMBER(SEARCH(City_Lookup!$A$2:$A$297,$F52&amp;" "&amp;$E52)),0)),"Not Available")</f>
        <v>Nuwakot</v>
      </c>
      <c r="H52" s="5" t="str">
        <f>IFERROR(INDEX(City_Lookup!$E$2:$E$66,MATCH($G52,City_Lookup!$D$2:$D$66,0)),"Not Available")</f>
        <v>Bagmati</v>
      </c>
      <c r="I52" s="2" t="s">
        <v>28</v>
      </c>
      <c r="J52" s="2" t="s">
        <v>29</v>
      </c>
      <c r="K52" s="2" t="s">
        <v>30</v>
      </c>
      <c r="L52" s="2"/>
      <c r="M52" s="2" t="s">
        <v>30</v>
      </c>
      <c r="N52" s="2" t="s">
        <v>31</v>
      </c>
      <c r="O52" s="2">
        <v>2</v>
      </c>
      <c r="P52" s="2" t="s">
        <v>27</v>
      </c>
      <c r="Q52" s="2" t="s">
        <v>191</v>
      </c>
      <c r="R52" s="2" t="s">
        <v>33</v>
      </c>
      <c r="S52" s="2" t="s">
        <v>27</v>
      </c>
      <c r="T52" s="2" t="s">
        <v>34</v>
      </c>
      <c r="U52" s="2" t="s">
        <v>35</v>
      </c>
      <c r="V52" s="2" t="s">
        <v>36</v>
      </c>
      <c r="W52" s="2" t="s">
        <v>37</v>
      </c>
      <c r="X52" s="4" t="s">
        <v>2486</v>
      </c>
      <c r="Y52" s="4" t="s">
        <v>2500</v>
      </c>
      <c r="Z52" t="str">
        <f t="shared" si="0"/>
        <v>97714153051</v>
      </c>
      <c r="AA52" t="str">
        <f t="shared" si="1"/>
        <v>14153051</v>
      </c>
      <c r="AB52" t="str">
        <f t="shared" si="2"/>
        <v>14153051</v>
      </c>
      <c r="AC52" t="str">
        <f t="shared" si="3"/>
        <v>+97714153051</v>
      </c>
      <c r="AD52" t="str">
        <f t="shared" si="4"/>
        <v>Landline</v>
      </c>
      <c r="AE52" t="str">
        <f t="shared" si="5"/>
        <v>Valid</v>
      </c>
    </row>
    <row r="53" spans="1:31" x14ac:dyDescent="0.3">
      <c r="A53" s="2" t="s">
        <v>187</v>
      </c>
      <c r="B53" s="2" t="s">
        <v>192</v>
      </c>
      <c r="C53" s="2" t="s">
        <v>189</v>
      </c>
      <c r="D53" s="2" t="s">
        <v>26</v>
      </c>
      <c r="E53" s="2" t="s">
        <v>189</v>
      </c>
      <c r="F53" s="2" t="s">
        <v>189</v>
      </c>
      <c r="G53" s="5" t="str" cm="1">
        <f t="array" ref="G53">IFERROR(INDEX(City_Lookup!$B$2:$B$297,MATCH(TRUE,ISNUMBER(SEARCH(City_Lookup!$A$2:$A$297,$F53&amp;" "&amp;$E53)),0)),"Not Available")</f>
        <v>Nuwakot</v>
      </c>
      <c r="H53" s="5" t="str">
        <f>IFERROR(INDEX(City_Lookup!$E$2:$E$66,MATCH($G53,City_Lookup!$D$2:$D$66,0)),"Not Available")</f>
        <v>Bagmati</v>
      </c>
      <c r="I53" s="2" t="s">
        <v>28</v>
      </c>
      <c r="J53" s="2" t="s">
        <v>39</v>
      </c>
      <c r="K53" s="2"/>
      <c r="L53" s="2" t="s">
        <v>40</v>
      </c>
      <c r="M53" s="2" t="s">
        <v>40</v>
      </c>
      <c r="N53" s="2" t="s">
        <v>31</v>
      </c>
      <c r="O53" s="2">
        <v>2</v>
      </c>
      <c r="P53" s="2" t="s">
        <v>27</v>
      </c>
      <c r="Q53" s="2" t="s">
        <v>191</v>
      </c>
      <c r="R53" s="2" t="s">
        <v>33</v>
      </c>
      <c r="S53" s="2" t="s">
        <v>27</v>
      </c>
      <c r="T53" s="2" t="s">
        <v>34</v>
      </c>
      <c r="U53" s="2" t="s">
        <v>35</v>
      </c>
      <c r="V53" s="2" t="s">
        <v>36</v>
      </c>
      <c r="W53" s="2" t="s">
        <v>37</v>
      </c>
      <c r="X53" s="4" t="s">
        <v>2486</v>
      </c>
      <c r="Y53" s="4" t="s">
        <v>2500</v>
      </c>
      <c r="Z53" t="str">
        <f t="shared" si="0"/>
        <v>97714153051</v>
      </c>
      <c r="AA53" t="str">
        <f t="shared" si="1"/>
        <v>14153051</v>
      </c>
      <c r="AB53" t="str">
        <f t="shared" si="2"/>
        <v>14153051</v>
      </c>
      <c r="AC53" t="str">
        <f t="shared" si="3"/>
        <v>+97714153051</v>
      </c>
      <c r="AD53" t="str">
        <f t="shared" si="4"/>
        <v>Landline</v>
      </c>
      <c r="AE53" t="str">
        <f t="shared" si="5"/>
        <v>Valid</v>
      </c>
    </row>
    <row r="54" spans="1:31" x14ac:dyDescent="0.3">
      <c r="A54" s="2" t="s">
        <v>193</v>
      </c>
      <c r="B54" s="2" t="s">
        <v>194</v>
      </c>
      <c r="C54" s="2" t="s">
        <v>195</v>
      </c>
      <c r="D54" s="2" t="s">
        <v>26</v>
      </c>
      <c r="E54" s="2" t="s">
        <v>195</v>
      </c>
      <c r="F54" s="2" t="s">
        <v>195</v>
      </c>
      <c r="G54" s="5" t="str" cm="1">
        <f t="array" ref="G54">IFERROR(INDEX(City_Lookup!$B$2:$B$297,MATCH(TRUE,ISNUMBER(SEARCH(City_Lookup!$A$2:$A$297,$F54&amp;" "&amp;$E54)),0)),"Not Available")</f>
        <v>Nuwakot</v>
      </c>
      <c r="H54" s="5" t="str">
        <f>IFERROR(INDEX(City_Lookup!$E$2:$E$66,MATCH($G54,City_Lookup!$D$2:$D$66,0)),"Not Available")</f>
        <v>Bagmati</v>
      </c>
      <c r="I54" s="2" t="s">
        <v>28</v>
      </c>
      <c r="J54" s="2" t="s">
        <v>29</v>
      </c>
      <c r="K54" s="2" t="s">
        <v>30</v>
      </c>
      <c r="L54" s="2"/>
      <c r="M54" s="2" t="s">
        <v>30</v>
      </c>
      <c r="N54" s="2" t="s">
        <v>31</v>
      </c>
      <c r="O54" s="2">
        <v>2</v>
      </c>
      <c r="P54" s="2" t="s">
        <v>27</v>
      </c>
      <c r="Q54" s="2" t="s">
        <v>196</v>
      </c>
      <c r="R54" s="2" t="s">
        <v>33</v>
      </c>
      <c r="S54" s="2" t="s">
        <v>27</v>
      </c>
      <c r="T54" s="2" t="s">
        <v>34</v>
      </c>
      <c r="U54" s="2" t="s">
        <v>35</v>
      </c>
      <c r="V54" s="2" t="s">
        <v>36</v>
      </c>
      <c r="W54" s="2" t="s">
        <v>37</v>
      </c>
      <c r="X54" s="4" t="s">
        <v>2486</v>
      </c>
      <c r="Y54" s="4" t="s">
        <v>2500</v>
      </c>
      <c r="Z54" t="str">
        <f t="shared" si="0"/>
        <v>97714153051</v>
      </c>
      <c r="AA54" t="str">
        <f t="shared" si="1"/>
        <v>14153051</v>
      </c>
      <c r="AB54" t="str">
        <f t="shared" si="2"/>
        <v>14153051</v>
      </c>
      <c r="AC54" t="str">
        <f t="shared" si="3"/>
        <v>+97714153051</v>
      </c>
      <c r="AD54" t="str">
        <f t="shared" si="4"/>
        <v>Landline</v>
      </c>
      <c r="AE54" t="str">
        <f t="shared" si="5"/>
        <v>Valid</v>
      </c>
    </row>
    <row r="55" spans="1:31" x14ac:dyDescent="0.3">
      <c r="A55" s="2" t="s">
        <v>193</v>
      </c>
      <c r="B55" s="2" t="s">
        <v>197</v>
      </c>
      <c r="C55" s="2" t="s">
        <v>195</v>
      </c>
      <c r="D55" s="2" t="s">
        <v>26</v>
      </c>
      <c r="E55" s="2" t="s">
        <v>195</v>
      </c>
      <c r="F55" s="2" t="s">
        <v>195</v>
      </c>
      <c r="G55" s="5" t="str" cm="1">
        <f t="array" ref="G55">IFERROR(INDEX(City_Lookup!$B$2:$B$297,MATCH(TRUE,ISNUMBER(SEARCH(City_Lookup!$A$2:$A$297,$F55&amp;" "&amp;$E55)),0)),"Not Available")</f>
        <v>Nuwakot</v>
      </c>
      <c r="H55" s="5" t="str">
        <f>IFERROR(INDEX(City_Lookup!$E$2:$E$66,MATCH($G55,City_Lookup!$D$2:$D$66,0)),"Not Available")</f>
        <v>Bagmati</v>
      </c>
      <c r="I55" s="2" t="s">
        <v>28</v>
      </c>
      <c r="J55" s="2" t="s">
        <v>39</v>
      </c>
      <c r="K55" s="2"/>
      <c r="L55" s="2" t="s">
        <v>40</v>
      </c>
      <c r="M55" s="2" t="s">
        <v>40</v>
      </c>
      <c r="N55" s="2" t="s">
        <v>31</v>
      </c>
      <c r="O55" s="2">
        <v>2</v>
      </c>
      <c r="P55" s="2" t="s">
        <v>27</v>
      </c>
      <c r="Q55" s="2" t="s">
        <v>196</v>
      </c>
      <c r="R55" s="2" t="s">
        <v>33</v>
      </c>
      <c r="S55" s="2" t="s">
        <v>27</v>
      </c>
      <c r="T55" s="2" t="s">
        <v>34</v>
      </c>
      <c r="U55" s="2" t="s">
        <v>35</v>
      </c>
      <c r="V55" s="2" t="s">
        <v>36</v>
      </c>
      <c r="W55" s="2" t="s">
        <v>37</v>
      </c>
      <c r="X55" s="4" t="s">
        <v>2486</v>
      </c>
      <c r="Y55" s="4" t="s">
        <v>2500</v>
      </c>
      <c r="Z55" t="str">
        <f t="shared" si="0"/>
        <v>97714153051</v>
      </c>
      <c r="AA55" t="str">
        <f t="shared" si="1"/>
        <v>14153051</v>
      </c>
      <c r="AB55" t="str">
        <f t="shared" si="2"/>
        <v>14153051</v>
      </c>
      <c r="AC55" t="str">
        <f t="shared" si="3"/>
        <v>+97714153051</v>
      </c>
      <c r="AD55" t="str">
        <f t="shared" si="4"/>
        <v>Landline</v>
      </c>
      <c r="AE55" t="str">
        <f t="shared" si="5"/>
        <v>Valid</v>
      </c>
    </row>
    <row r="56" spans="1:31" x14ac:dyDescent="0.3">
      <c r="A56" s="2" t="s">
        <v>198</v>
      </c>
      <c r="B56" s="2" t="s">
        <v>199</v>
      </c>
      <c r="C56" s="2" t="s">
        <v>200</v>
      </c>
      <c r="D56" s="2" t="s">
        <v>26</v>
      </c>
      <c r="E56" s="2" t="s">
        <v>200</v>
      </c>
      <c r="F56" s="2" t="s">
        <v>200</v>
      </c>
      <c r="G56" s="5" t="str" cm="1">
        <f t="array" ref="G56">IFERROR(INDEX(City_Lookup!$B$2:$B$297,MATCH(TRUE,ISNUMBER(SEARCH(City_Lookup!$A$2:$A$297,$F56&amp;" "&amp;$E56)),0)),"Not Available")</f>
        <v>Parbat</v>
      </c>
      <c r="H56" s="5" t="str">
        <f>IFERROR(INDEX(City_Lookup!$E$2:$E$66,MATCH($G56,City_Lookup!$D$2:$D$66,0)),"Not Available")</f>
        <v>Gandaki</v>
      </c>
      <c r="I56" s="2" t="s">
        <v>28</v>
      </c>
      <c r="J56" s="2" t="s">
        <v>29</v>
      </c>
      <c r="K56" s="2" t="s">
        <v>30</v>
      </c>
      <c r="L56" s="2"/>
      <c r="M56" s="2" t="s">
        <v>30</v>
      </c>
      <c r="N56" s="2" t="s">
        <v>31</v>
      </c>
      <c r="O56" s="2">
        <v>2</v>
      </c>
      <c r="P56" s="2" t="s">
        <v>27</v>
      </c>
      <c r="Q56" s="2" t="s">
        <v>203</v>
      </c>
      <c r="R56" s="2" t="s">
        <v>33</v>
      </c>
      <c r="S56" s="2" t="s">
        <v>27</v>
      </c>
      <c r="T56" s="2" t="s">
        <v>34</v>
      </c>
      <c r="U56" s="2" t="s">
        <v>35</v>
      </c>
      <c r="V56" s="2" t="s">
        <v>36</v>
      </c>
      <c r="W56" s="2" t="s">
        <v>37</v>
      </c>
      <c r="X56" s="4" t="s">
        <v>2486</v>
      </c>
      <c r="Y56" s="4" t="s">
        <v>2500</v>
      </c>
      <c r="Z56" t="str">
        <f t="shared" si="0"/>
        <v>97714153051</v>
      </c>
      <c r="AA56" t="str">
        <f t="shared" si="1"/>
        <v>14153051</v>
      </c>
      <c r="AB56" t="str">
        <f t="shared" si="2"/>
        <v>14153051</v>
      </c>
      <c r="AC56" t="str">
        <f t="shared" si="3"/>
        <v>+97714153051</v>
      </c>
      <c r="AD56" t="str">
        <f t="shared" si="4"/>
        <v>Landline</v>
      </c>
      <c r="AE56" t="str">
        <f t="shared" si="5"/>
        <v>Valid</v>
      </c>
    </row>
    <row r="57" spans="1:31" x14ac:dyDescent="0.3">
      <c r="A57" s="2" t="s">
        <v>198</v>
      </c>
      <c r="B57" s="2" t="s">
        <v>204</v>
      </c>
      <c r="C57" s="2" t="s">
        <v>200</v>
      </c>
      <c r="D57" s="2" t="s">
        <v>26</v>
      </c>
      <c r="E57" s="2" t="s">
        <v>200</v>
      </c>
      <c r="F57" s="2" t="s">
        <v>200</v>
      </c>
      <c r="G57" s="5" t="str" cm="1">
        <f t="array" ref="G57">IFERROR(INDEX(City_Lookup!$B$2:$B$297,MATCH(TRUE,ISNUMBER(SEARCH(City_Lookup!$A$2:$A$297,$F57&amp;" "&amp;$E57)),0)),"Not Available")</f>
        <v>Parbat</v>
      </c>
      <c r="H57" s="5" t="str">
        <f>IFERROR(INDEX(City_Lookup!$E$2:$E$66,MATCH($G57,City_Lookup!$D$2:$D$66,0)),"Not Available")</f>
        <v>Gandaki</v>
      </c>
      <c r="I57" s="2" t="s">
        <v>28</v>
      </c>
      <c r="J57" s="2" t="s">
        <v>39</v>
      </c>
      <c r="K57" s="2"/>
      <c r="L57" s="2" t="s">
        <v>40</v>
      </c>
      <c r="M57" s="2" t="s">
        <v>40</v>
      </c>
      <c r="N57" s="2" t="s">
        <v>31</v>
      </c>
      <c r="O57" s="2">
        <v>2</v>
      </c>
      <c r="P57" s="2" t="s">
        <v>27</v>
      </c>
      <c r="Q57" s="2" t="s">
        <v>203</v>
      </c>
      <c r="R57" s="2" t="s">
        <v>33</v>
      </c>
      <c r="S57" s="2" t="s">
        <v>27</v>
      </c>
      <c r="T57" s="2" t="s">
        <v>34</v>
      </c>
      <c r="U57" s="2" t="s">
        <v>35</v>
      </c>
      <c r="V57" s="2" t="s">
        <v>36</v>
      </c>
      <c r="W57" s="2" t="s">
        <v>37</v>
      </c>
      <c r="X57" s="4" t="s">
        <v>2486</v>
      </c>
      <c r="Y57" s="4" t="s">
        <v>2500</v>
      </c>
      <c r="Z57" t="str">
        <f t="shared" si="0"/>
        <v>97714153051</v>
      </c>
      <c r="AA57" t="str">
        <f t="shared" si="1"/>
        <v>14153051</v>
      </c>
      <c r="AB57" t="str">
        <f t="shared" si="2"/>
        <v>14153051</v>
      </c>
      <c r="AC57" t="str">
        <f t="shared" si="3"/>
        <v>+97714153051</v>
      </c>
      <c r="AD57" t="str">
        <f t="shared" si="4"/>
        <v>Landline</v>
      </c>
      <c r="AE57" t="str">
        <f t="shared" si="5"/>
        <v>Valid</v>
      </c>
    </row>
    <row r="58" spans="1:31" x14ac:dyDescent="0.3">
      <c r="A58" s="2" t="s">
        <v>205</v>
      </c>
      <c r="B58" s="2" t="s">
        <v>206</v>
      </c>
      <c r="C58" s="2" t="s">
        <v>207</v>
      </c>
      <c r="D58" s="2" t="s">
        <v>26</v>
      </c>
      <c r="E58" s="2" t="s">
        <v>207</v>
      </c>
      <c r="F58" s="2" t="s">
        <v>207</v>
      </c>
      <c r="G58" s="5" t="str" cm="1">
        <f t="array" ref="G58">IFERROR(INDEX(City_Lookup!$B$2:$B$297,MATCH(TRUE,ISNUMBER(SEARCH(City_Lookup!$A$2:$A$297,$F58&amp;" "&amp;$E58)),0)),"Not Available")</f>
        <v>Dang</v>
      </c>
      <c r="H58" s="5" t="str">
        <f>IFERROR(INDEX(City_Lookup!$E$2:$E$66,MATCH($G58,City_Lookup!$D$2:$D$66,0)),"Not Available")</f>
        <v>Lumbini</v>
      </c>
      <c r="I58" s="2" t="s">
        <v>28</v>
      </c>
      <c r="J58" s="2" t="s">
        <v>29</v>
      </c>
      <c r="K58" s="2" t="s">
        <v>30</v>
      </c>
      <c r="L58" s="2"/>
      <c r="M58" s="2" t="s">
        <v>30</v>
      </c>
      <c r="N58" s="2" t="s">
        <v>31</v>
      </c>
      <c r="O58" s="2">
        <v>2</v>
      </c>
      <c r="P58" s="2" t="s">
        <v>27</v>
      </c>
      <c r="Q58" s="2" t="s">
        <v>209</v>
      </c>
      <c r="R58" s="2" t="s">
        <v>33</v>
      </c>
      <c r="S58" s="2" t="s">
        <v>27</v>
      </c>
      <c r="T58" s="2" t="s">
        <v>34</v>
      </c>
      <c r="U58" s="2" t="s">
        <v>35</v>
      </c>
      <c r="V58" s="2" t="s">
        <v>36</v>
      </c>
      <c r="W58" s="2" t="s">
        <v>37</v>
      </c>
      <c r="X58" s="4" t="s">
        <v>2486</v>
      </c>
      <c r="Y58" s="4" t="s">
        <v>2500</v>
      </c>
      <c r="Z58" t="str">
        <f t="shared" si="0"/>
        <v>97714153051</v>
      </c>
      <c r="AA58" t="str">
        <f t="shared" si="1"/>
        <v>14153051</v>
      </c>
      <c r="AB58" t="str">
        <f t="shared" si="2"/>
        <v>14153051</v>
      </c>
      <c r="AC58" t="str">
        <f t="shared" si="3"/>
        <v>+97714153051</v>
      </c>
      <c r="AD58" t="str">
        <f t="shared" si="4"/>
        <v>Landline</v>
      </c>
      <c r="AE58" t="str">
        <f t="shared" si="5"/>
        <v>Valid</v>
      </c>
    </row>
    <row r="59" spans="1:31" x14ac:dyDescent="0.3">
      <c r="A59" s="2" t="s">
        <v>205</v>
      </c>
      <c r="B59" s="2" t="s">
        <v>210</v>
      </c>
      <c r="C59" s="2" t="s">
        <v>207</v>
      </c>
      <c r="D59" s="2" t="s">
        <v>26</v>
      </c>
      <c r="E59" s="2" t="s">
        <v>207</v>
      </c>
      <c r="F59" s="2" t="s">
        <v>207</v>
      </c>
      <c r="G59" s="5" t="str" cm="1">
        <f t="array" ref="G59">IFERROR(INDEX(City_Lookup!$B$2:$B$297,MATCH(TRUE,ISNUMBER(SEARCH(City_Lookup!$A$2:$A$297,$F59&amp;" "&amp;$E59)),0)),"Not Available")</f>
        <v>Dang</v>
      </c>
      <c r="H59" s="5" t="str">
        <f>IFERROR(INDEX(City_Lookup!$E$2:$E$66,MATCH($G59,City_Lookup!$D$2:$D$66,0)),"Not Available")</f>
        <v>Lumbini</v>
      </c>
      <c r="I59" s="2" t="s">
        <v>28</v>
      </c>
      <c r="J59" s="2" t="s">
        <v>39</v>
      </c>
      <c r="K59" s="2"/>
      <c r="L59" s="2" t="s">
        <v>40</v>
      </c>
      <c r="M59" s="2" t="s">
        <v>40</v>
      </c>
      <c r="N59" s="2" t="s">
        <v>31</v>
      </c>
      <c r="O59" s="2">
        <v>2</v>
      </c>
      <c r="P59" s="2" t="s">
        <v>27</v>
      </c>
      <c r="Q59" s="2" t="s">
        <v>209</v>
      </c>
      <c r="R59" s="2" t="s">
        <v>33</v>
      </c>
      <c r="S59" s="2" t="s">
        <v>27</v>
      </c>
      <c r="T59" s="2" t="s">
        <v>34</v>
      </c>
      <c r="U59" s="2" t="s">
        <v>35</v>
      </c>
      <c r="V59" s="2" t="s">
        <v>36</v>
      </c>
      <c r="W59" s="2" t="s">
        <v>37</v>
      </c>
      <c r="X59" s="4" t="s">
        <v>2486</v>
      </c>
      <c r="Y59" s="4" t="s">
        <v>2500</v>
      </c>
      <c r="Z59" t="str">
        <f t="shared" si="0"/>
        <v>97714153051</v>
      </c>
      <c r="AA59" t="str">
        <f t="shared" si="1"/>
        <v>14153051</v>
      </c>
      <c r="AB59" t="str">
        <f t="shared" si="2"/>
        <v>14153051</v>
      </c>
      <c r="AC59" t="str">
        <f t="shared" si="3"/>
        <v>+97714153051</v>
      </c>
      <c r="AD59" t="str">
        <f t="shared" si="4"/>
        <v>Landline</v>
      </c>
      <c r="AE59" t="str">
        <f t="shared" si="5"/>
        <v>Valid</v>
      </c>
    </row>
    <row r="60" spans="1:31" x14ac:dyDescent="0.3">
      <c r="A60" s="2" t="s">
        <v>211</v>
      </c>
      <c r="B60" s="2" t="s">
        <v>212</v>
      </c>
      <c r="C60" s="2" t="s">
        <v>213</v>
      </c>
      <c r="D60" s="2" t="s">
        <v>26</v>
      </c>
      <c r="E60" s="2" t="s">
        <v>213</v>
      </c>
      <c r="F60" s="2" t="s">
        <v>213</v>
      </c>
      <c r="G60" s="5" t="str" cm="1">
        <f t="array" ref="G60">IFERROR(INDEX(City_Lookup!$B$2:$B$297,MATCH(TRUE,ISNUMBER(SEARCH(City_Lookup!$A$2:$A$297,$F60&amp;" "&amp;$E60)),0)),"Not Available")</f>
        <v>Kailali</v>
      </c>
      <c r="H60" s="5" t="str">
        <f>IFERROR(INDEX(City_Lookup!$E$2:$E$66,MATCH($G60,City_Lookup!$D$2:$D$66,0)),"Not Available")</f>
        <v>Sudurpashchim</v>
      </c>
      <c r="I60" s="2" t="s">
        <v>28</v>
      </c>
      <c r="J60" s="2" t="s">
        <v>29</v>
      </c>
      <c r="K60" s="2" t="s">
        <v>30</v>
      </c>
      <c r="L60" s="2"/>
      <c r="M60" s="2" t="s">
        <v>30</v>
      </c>
      <c r="N60" s="2" t="s">
        <v>31</v>
      </c>
      <c r="O60" s="2">
        <v>2</v>
      </c>
      <c r="P60" s="2" t="s">
        <v>27</v>
      </c>
      <c r="Q60" s="2" t="s">
        <v>215</v>
      </c>
      <c r="R60" s="2" t="s">
        <v>33</v>
      </c>
      <c r="S60" s="2" t="s">
        <v>27</v>
      </c>
      <c r="T60" s="2" t="s">
        <v>34</v>
      </c>
      <c r="U60" s="2" t="s">
        <v>35</v>
      </c>
      <c r="V60" s="2" t="s">
        <v>36</v>
      </c>
      <c r="W60" s="2" t="s">
        <v>37</v>
      </c>
      <c r="X60" s="4" t="s">
        <v>2486</v>
      </c>
      <c r="Y60" s="4" t="s">
        <v>2500</v>
      </c>
      <c r="Z60" t="str">
        <f t="shared" si="0"/>
        <v>97714153051</v>
      </c>
      <c r="AA60" t="str">
        <f t="shared" si="1"/>
        <v>14153051</v>
      </c>
      <c r="AB60" t="str">
        <f t="shared" si="2"/>
        <v>14153051</v>
      </c>
      <c r="AC60" t="str">
        <f t="shared" si="3"/>
        <v>+97714153051</v>
      </c>
      <c r="AD60" t="str">
        <f t="shared" si="4"/>
        <v>Landline</v>
      </c>
      <c r="AE60" t="str">
        <f t="shared" si="5"/>
        <v>Valid</v>
      </c>
    </row>
    <row r="61" spans="1:31" x14ac:dyDescent="0.3">
      <c r="A61" s="2" t="s">
        <v>211</v>
      </c>
      <c r="B61" s="2" t="s">
        <v>216</v>
      </c>
      <c r="C61" s="2" t="s">
        <v>213</v>
      </c>
      <c r="D61" s="2" t="s">
        <v>26</v>
      </c>
      <c r="E61" s="2" t="s">
        <v>213</v>
      </c>
      <c r="F61" s="2" t="s">
        <v>213</v>
      </c>
      <c r="G61" s="5" t="str" cm="1">
        <f t="array" ref="G61">IFERROR(INDEX(City_Lookup!$B$2:$B$297,MATCH(TRUE,ISNUMBER(SEARCH(City_Lookup!$A$2:$A$297,$F61&amp;" "&amp;$E61)),0)),"Not Available")</f>
        <v>Kailali</v>
      </c>
      <c r="H61" s="5" t="str">
        <f>IFERROR(INDEX(City_Lookup!$E$2:$E$66,MATCH($G61,City_Lookup!$D$2:$D$66,0)),"Not Available")</f>
        <v>Sudurpashchim</v>
      </c>
      <c r="I61" s="2" t="s">
        <v>28</v>
      </c>
      <c r="J61" s="2" t="s">
        <v>39</v>
      </c>
      <c r="K61" s="2"/>
      <c r="L61" s="2" t="s">
        <v>40</v>
      </c>
      <c r="M61" s="2" t="s">
        <v>40</v>
      </c>
      <c r="N61" s="2" t="s">
        <v>31</v>
      </c>
      <c r="O61" s="2">
        <v>2</v>
      </c>
      <c r="P61" s="2" t="s">
        <v>27</v>
      </c>
      <c r="Q61" s="2" t="s">
        <v>215</v>
      </c>
      <c r="R61" s="2" t="s">
        <v>33</v>
      </c>
      <c r="S61" s="2" t="s">
        <v>27</v>
      </c>
      <c r="T61" s="2" t="s">
        <v>34</v>
      </c>
      <c r="U61" s="2" t="s">
        <v>35</v>
      </c>
      <c r="V61" s="2" t="s">
        <v>36</v>
      </c>
      <c r="W61" s="2" t="s">
        <v>37</v>
      </c>
      <c r="X61" s="4" t="s">
        <v>2486</v>
      </c>
      <c r="Y61" s="4" t="s">
        <v>2500</v>
      </c>
      <c r="Z61" t="str">
        <f t="shared" si="0"/>
        <v>97714153051</v>
      </c>
      <c r="AA61" t="str">
        <f t="shared" si="1"/>
        <v>14153051</v>
      </c>
      <c r="AB61" t="str">
        <f t="shared" si="2"/>
        <v>14153051</v>
      </c>
      <c r="AC61" t="str">
        <f t="shared" si="3"/>
        <v>+97714153051</v>
      </c>
      <c r="AD61" t="str">
        <f t="shared" si="4"/>
        <v>Landline</v>
      </c>
      <c r="AE61" t="str">
        <f t="shared" si="5"/>
        <v>Valid</v>
      </c>
    </row>
    <row r="62" spans="1:31" x14ac:dyDescent="0.3">
      <c r="A62" s="2" t="s">
        <v>217</v>
      </c>
      <c r="B62" s="2" t="s">
        <v>218</v>
      </c>
      <c r="C62" s="2" t="s">
        <v>219</v>
      </c>
      <c r="D62" s="2" t="s">
        <v>26</v>
      </c>
      <c r="E62" s="2" t="s">
        <v>219</v>
      </c>
      <c r="F62" s="2" t="s">
        <v>219</v>
      </c>
      <c r="G62" s="5" t="str" cm="1">
        <f t="array" ref="G62">IFERROR(INDEX(City_Lookup!$B$2:$B$297,MATCH(TRUE,ISNUMBER(SEARCH(City_Lookup!$A$2:$A$297,$F62&amp;" "&amp;$E62)),0)),"Not Available")</f>
        <v>Kavre</v>
      </c>
      <c r="H62" s="5" t="str">
        <f>IFERROR(INDEX(City_Lookup!$E$2:$E$66,MATCH($G62,City_Lookup!$D$2:$D$66,0)),"Not Available")</f>
        <v>Bagmati</v>
      </c>
      <c r="I62" s="2" t="s">
        <v>28</v>
      </c>
      <c r="J62" s="2" t="s">
        <v>29</v>
      </c>
      <c r="K62" s="2" t="s">
        <v>30</v>
      </c>
      <c r="L62" s="2"/>
      <c r="M62" s="2" t="s">
        <v>30</v>
      </c>
      <c r="N62" s="2" t="s">
        <v>31</v>
      </c>
      <c r="O62" s="2">
        <v>2</v>
      </c>
      <c r="P62" s="2" t="s">
        <v>27</v>
      </c>
      <c r="Q62" s="2" t="s">
        <v>222</v>
      </c>
      <c r="R62" s="2" t="s">
        <v>33</v>
      </c>
      <c r="S62" s="2" t="s">
        <v>27</v>
      </c>
      <c r="T62" s="2" t="s">
        <v>34</v>
      </c>
      <c r="U62" s="2" t="s">
        <v>35</v>
      </c>
      <c r="V62" s="2" t="s">
        <v>36</v>
      </c>
      <c r="W62" s="2" t="s">
        <v>37</v>
      </c>
      <c r="X62" s="4" t="s">
        <v>2486</v>
      </c>
      <c r="Y62" s="4" t="s">
        <v>2500</v>
      </c>
      <c r="Z62" t="str">
        <f t="shared" si="0"/>
        <v>97714153051</v>
      </c>
      <c r="AA62" t="str">
        <f t="shared" si="1"/>
        <v>14153051</v>
      </c>
      <c r="AB62" t="str">
        <f t="shared" si="2"/>
        <v>14153051</v>
      </c>
      <c r="AC62" t="str">
        <f t="shared" si="3"/>
        <v>+97714153051</v>
      </c>
      <c r="AD62" t="str">
        <f t="shared" si="4"/>
        <v>Landline</v>
      </c>
      <c r="AE62" t="str">
        <f t="shared" si="5"/>
        <v>Valid</v>
      </c>
    </row>
    <row r="63" spans="1:31" x14ac:dyDescent="0.3">
      <c r="A63" s="2" t="s">
        <v>217</v>
      </c>
      <c r="B63" s="2" t="s">
        <v>223</v>
      </c>
      <c r="C63" s="2" t="s">
        <v>219</v>
      </c>
      <c r="D63" s="2" t="s">
        <v>26</v>
      </c>
      <c r="E63" s="2" t="s">
        <v>219</v>
      </c>
      <c r="F63" s="2" t="s">
        <v>219</v>
      </c>
      <c r="G63" s="5" t="str" cm="1">
        <f t="array" ref="G63">IFERROR(INDEX(City_Lookup!$B$2:$B$297,MATCH(TRUE,ISNUMBER(SEARCH(City_Lookup!$A$2:$A$297,$F63&amp;" "&amp;$E63)),0)),"Not Available")</f>
        <v>Kavre</v>
      </c>
      <c r="H63" s="5" t="str">
        <f>IFERROR(INDEX(City_Lookup!$E$2:$E$66,MATCH($G63,City_Lookup!$D$2:$D$66,0)),"Not Available")</f>
        <v>Bagmati</v>
      </c>
      <c r="I63" s="2" t="s">
        <v>28</v>
      </c>
      <c r="J63" s="2" t="s">
        <v>39</v>
      </c>
      <c r="K63" s="2"/>
      <c r="L63" s="2" t="s">
        <v>40</v>
      </c>
      <c r="M63" s="2" t="s">
        <v>40</v>
      </c>
      <c r="N63" s="2" t="s">
        <v>31</v>
      </c>
      <c r="O63" s="2">
        <v>2</v>
      </c>
      <c r="P63" s="2" t="s">
        <v>27</v>
      </c>
      <c r="Q63" s="2" t="s">
        <v>222</v>
      </c>
      <c r="R63" s="2" t="s">
        <v>33</v>
      </c>
      <c r="S63" s="2" t="s">
        <v>27</v>
      </c>
      <c r="T63" s="2" t="s">
        <v>34</v>
      </c>
      <c r="U63" s="2" t="s">
        <v>35</v>
      </c>
      <c r="V63" s="2" t="s">
        <v>36</v>
      </c>
      <c r="W63" s="2" t="s">
        <v>37</v>
      </c>
      <c r="X63" s="4" t="s">
        <v>2486</v>
      </c>
      <c r="Y63" s="4" t="s">
        <v>2500</v>
      </c>
      <c r="Z63" t="str">
        <f t="shared" si="0"/>
        <v>97714153051</v>
      </c>
      <c r="AA63" t="str">
        <f t="shared" si="1"/>
        <v>14153051</v>
      </c>
      <c r="AB63" t="str">
        <f t="shared" si="2"/>
        <v>14153051</v>
      </c>
      <c r="AC63" t="str">
        <f t="shared" si="3"/>
        <v>+97714153051</v>
      </c>
      <c r="AD63" t="str">
        <f t="shared" si="4"/>
        <v>Landline</v>
      </c>
      <c r="AE63" t="str">
        <f t="shared" si="5"/>
        <v>Valid</v>
      </c>
    </row>
    <row r="64" spans="1:31" x14ac:dyDescent="0.3">
      <c r="A64" s="2" t="s">
        <v>224</v>
      </c>
      <c r="B64" s="2" t="s">
        <v>225</v>
      </c>
      <c r="C64" s="2" t="s">
        <v>226</v>
      </c>
      <c r="D64" s="2" t="s">
        <v>26</v>
      </c>
      <c r="E64" s="2" t="s">
        <v>226</v>
      </c>
      <c r="F64" s="2" t="s">
        <v>226</v>
      </c>
      <c r="G64" s="5" t="str" cm="1">
        <f t="array" ref="G64">IFERROR(INDEX(City_Lookup!$B$2:$B$297,MATCH(TRUE,ISNUMBER(SEARCH(City_Lookup!$A$2:$A$297,$F64&amp;" "&amp;$E64)),0)),"Not Available")</f>
        <v>Kathmandu</v>
      </c>
      <c r="H64" s="5" t="str">
        <f>IFERROR(INDEX(City_Lookup!$E$2:$E$66,MATCH($G64,City_Lookup!$D$2:$D$66,0)),"Not Available")</f>
        <v>Bagmati</v>
      </c>
      <c r="I64" s="2" t="s">
        <v>28</v>
      </c>
      <c r="J64" s="2" t="s">
        <v>29</v>
      </c>
      <c r="K64" s="2" t="s">
        <v>30</v>
      </c>
      <c r="L64" s="2"/>
      <c r="M64" s="2" t="s">
        <v>30</v>
      </c>
      <c r="N64" s="2" t="s">
        <v>31</v>
      </c>
      <c r="O64" s="2">
        <v>2</v>
      </c>
      <c r="P64" s="2" t="s">
        <v>27</v>
      </c>
      <c r="Q64" s="2" t="s">
        <v>227</v>
      </c>
      <c r="R64" s="2" t="s">
        <v>33</v>
      </c>
      <c r="S64" s="2" t="s">
        <v>27</v>
      </c>
      <c r="T64" s="2" t="s">
        <v>34</v>
      </c>
      <c r="U64" s="2" t="s">
        <v>35</v>
      </c>
      <c r="V64" s="2" t="s">
        <v>36</v>
      </c>
      <c r="W64" s="2" t="s">
        <v>37</v>
      </c>
      <c r="X64" s="4" t="s">
        <v>2486</v>
      </c>
      <c r="Y64" s="4" t="s">
        <v>2500</v>
      </c>
      <c r="Z64" t="str">
        <f t="shared" si="0"/>
        <v>97714153051</v>
      </c>
      <c r="AA64" t="str">
        <f t="shared" si="1"/>
        <v>14153051</v>
      </c>
      <c r="AB64" t="str">
        <f t="shared" si="2"/>
        <v>14153051</v>
      </c>
      <c r="AC64" t="str">
        <f t="shared" si="3"/>
        <v>+97714153051</v>
      </c>
      <c r="AD64" t="str">
        <f t="shared" si="4"/>
        <v>Landline</v>
      </c>
      <c r="AE64" t="str">
        <f t="shared" si="5"/>
        <v>Valid</v>
      </c>
    </row>
    <row r="65" spans="1:31" x14ac:dyDescent="0.3">
      <c r="A65" s="2" t="s">
        <v>224</v>
      </c>
      <c r="B65" s="2" t="s">
        <v>228</v>
      </c>
      <c r="C65" s="2" t="s">
        <v>226</v>
      </c>
      <c r="D65" s="2" t="s">
        <v>26</v>
      </c>
      <c r="E65" s="2" t="s">
        <v>226</v>
      </c>
      <c r="F65" s="2" t="s">
        <v>226</v>
      </c>
      <c r="G65" s="5" t="str" cm="1">
        <f t="array" ref="G65">IFERROR(INDEX(City_Lookup!$B$2:$B$297,MATCH(TRUE,ISNUMBER(SEARCH(City_Lookup!$A$2:$A$297,$F65&amp;" "&amp;$E65)),0)),"Not Available")</f>
        <v>Kathmandu</v>
      </c>
      <c r="H65" s="5" t="str">
        <f>IFERROR(INDEX(City_Lookup!$E$2:$E$66,MATCH($G65,City_Lookup!$D$2:$D$66,0)),"Not Available")</f>
        <v>Bagmati</v>
      </c>
      <c r="I65" s="2" t="s">
        <v>28</v>
      </c>
      <c r="J65" s="2" t="s">
        <v>39</v>
      </c>
      <c r="K65" s="2"/>
      <c r="L65" s="2" t="s">
        <v>40</v>
      </c>
      <c r="M65" s="2" t="s">
        <v>40</v>
      </c>
      <c r="N65" s="2" t="s">
        <v>31</v>
      </c>
      <c r="O65" s="2">
        <v>2</v>
      </c>
      <c r="P65" s="2" t="s">
        <v>27</v>
      </c>
      <c r="Q65" s="2" t="s">
        <v>227</v>
      </c>
      <c r="R65" s="2" t="s">
        <v>33</v>
      </c>
      <c r="S65" s="2" t="s">
        <v>27</v>
      </c>
      <c r="T65" s="2" t="s">
        <v>34</v>
      </c>
      <c r="U65" s="2" t="s">
        <v>35</v>
      </c>
      <c r="V65" s="2" t="s">
        <v>36</v>
      </c>
      <c r="W65" s="2" t="s">
        <v>37</v>
      </c>
      <c r="X65" s="4" t="s">
        <v>2486</v>
      </c>
      <c r="Y65" s="4" t="s">
        <v>2500</v>
      </c>
      <c r="Z65" t="str">
        <f t="shared" si="0"/>
        <v>97714153051</v>
      </c>
      <c r="AA65" t="str">
        <f t="shared" si="1"/>
        <v>14153051</v>
      </c>
      <c r="AB65" t="str">
        <f t="shared" si="2"/>
        <v>14153051</v>
      </c>
      <c r="AC65" t="str">
        <f t="shared" si="3"/>
        <v>+97714153051</v>
      </c>
      <c r="AD65" t="str">
        <f t="shared" si="4"/>
        <v>Landline</v>
      </c>
      <c r="AE65" t="str">
        <f t="shared" si="5"/>
        <v>Valid</v>
      </c>
    </row>
    <row r="66" spans="1:31" x14ac:dyDescent="0.3">
      <c r="A66" s="2" t="s">
        <v>229</v>
      </c>
      <c r="B66" s="2" t="s">
        <v>230</v>
      </c>
      <c r="C66" s="2" t="s">
        <v>231</v>
      </c>
      <c r="D66" s="2" t="s">
        <v>26</v>
      </c>
      <c r="E66" s="2" t="s">
        <v>231</v>
      </c>
      <c r="F66" s="2" t="s">
        <v>231</v>
      </c>
      <c r="G66" s="5" t="str" cm="1">
        <f t="array" ref="G66">IFERROR(INDEX(City_Lookup!$B$2:$B$297,MATCH(TRUE,ISNUMBER(SEARCH(City_Lookup!$A$2:$A$297,$F66&amp;" "&amp;$E66)),0)),"Not Available")</f>
        <v>Chitwan</v>
      </c>
      <c r="H66" s="5" t="str">
        <f>IFERROR(INDEX(City_Lookup!$E$2:$E$66,MATCH($G66,City_Lookup!$D$2:$D$66,0)),"Not Available")</f>
        <v>Bagmati</v>
      </c>
      <c r="I66" s="2" t="s">
        <v>28</v>
      </c>
      <c r="J66" s="2" t="s">
        <v>29</v>
      </c>
      <c r="K66" s="2" t="s">
        <v>30</v>
      </c>
      <c r="L66" s="2"/>
      <c r="M66" s="2" t="s">
        <v>30</v>
      </c>
      <c r="N66" s="2" t="s">
        <v>31</v>
      </c>
      <c r="O66" s="2">
        <v>2</v>
      </c>
      <c r="P66" s="2" t="s">
        <v>27</v>
      </c>
      <c r="Q66" s="2" t="s">
        <v>232</v>
      </c>
      <c r="R66" s="2" t="s">
        <v>33</v>
      </c>
      <c r="S66" s="2" t="s">
        <v>27</v>
      </c>
      <c r="T66" s="2" t="s">
        <v>34</v>
      </c>
      <c r="U66" s="2" t="s">
        <v>35</v>
      </c>
      <c r="V66" s="2" t="s">
        <v>36</v>
      </c>
      <c r="W66" s="2" t="s">
        <v>37</v>
      </c>
      <c r="X66" s="4" t="s">
        <v>2486</v>
      </c>
      <c r="Y66" s="4" t="s">
        <v>2500</v>
      </c>
      <c r="Z66" t="str">
        <f t="shared" si="0"/>
        <v>97714153051</v>
      </c>
      <c r="AA66" t="str">
        <f t="shared" si="1"/>
        <v>14153051</v>
      </c>
      <c r="AB66" t="str">
        <f t="shared" si="2"/>
        <v>14153051</v>
      </c>
      <c r="AC66" t="str">
        <f t="shared" si="3"/>
        <v>+97714153051</v>
      </c>
      <c r="AD66" t="str">
        <f t="shared" si="4"/>
        <v>Landline</v>
      </c>
      <c r="AE66" t="str">
        <f t="shared" si="5"/>
        <v>Valid</v>
      </c>
    </row>
    <row r="67" spans="1:31" x14ac:dyDescent="0.3">
      <c r="A67" s="2" t="s">
        <v>229</v>
      </c>
      <c r="B67" s="2" t="s">
        <v>233</v>
      </c>
      <c r="C67" s="2" t="s">
        <v>231</v>
      </c>
      <c r="D67" s="2" t="s">
        <v>26</v>
      </c>
      <c r="E67" s="2" t="s">
        <v>231</v>
      </c>
      <c r="F67" s="2" t="s">
        <v>231</v>
      </c>
      <c r="G67" s="5" t="str" cm="1">
        <f t="array" ref="G67">IFERROR(INDEX(City_Lookup!$B$2:$B$297,MATCH(TRUE,ISNUMBER(SEARCH(City_Lookup!$A$2:$A$297,$F67&amp;" "&amp;$E67)),0)),"Not Available")</f>
        <v>Chitwan</v>
      </c>
      <c r="H67" s="5" t="str">
        <f>IFERROR(INDEX(City_Lookup!$E$2:$E$66,MATCH($G67,City_Lookup!$D$2:$D$66,0)),"Not Available")</f>
        <v>Bagmati</v>
      </c>
      <c r="I67" s="2" t="s">
        <v>28</v>
      </c>
      <c r="J67" s="2" t="s">
        <v>39</v>
      </c>
      <c r="K67" s="2"/>
      <c r="L67" s="2" t="s">
        <v>40</v>
      </c>
      <c r="M67" s="2" t="s">
        <v>40</v>
      </c>
      <c r="N67" s="2" t="s">
        <v>31</v>
      </c>
      <c r="O67" s="2">
        <v>2</v>
      </c>
      <c r="P67" s="2" t="s">
        <v>27</v>
      </c>
      <c r="Q67" s="2" t="s">
        <v>232</v>
      </c>
      <c r="R67" s="2" t="s">
        <v>33</v>
      </c>
      <c r="S67" s="2" t="s">
        <v>27</v>
      </c>
      <c r="T67" s="2" t="s">
        <v>34</v>
      </c>
      <c r="U67" s="2" t="s">
        <v>35</v>
      </c>
      <c r="V67" s="2" t="s">
        <v>36</v>
      </c>
      <c r="W67" s="2" t="s">
        <v>37</v>
      </c>
      <c r="X67" s="4" t="s">
        <v>2486</v>
      </c>
      <c r="Y67" s="4" t="s">
        <v>2500</v>
      </c>
      <c r="Z67" t="str">
        <f t="shared" ref="Z67:Z130" si="6">IF($X67="Not Available","",TRIM(LEFT(SUBSTITUTE(SUBSTITUTE(SUBSTITUTE(SUBSTITUTE(SUBSTITUTE(SUBSTITUTE(SUBSTITUTE($X67," ",""),"-",""),"(",""),")",""),".",""),"+","")&amp;"/","/",REPT(" ",60)),60)))</f>
        <v>97714153051</v>
      </c>
      <c r="AA67" t="str">
        <f t="shared" ref="AA67:AA130" si="7">IF($Z67="","",IF(ISNUMBER(-$Z67),IF(LEFT($Z67,3)="977",MID($Z67,4,20),$Z67),IF(ISNUMBER(SEARCH("977",$Z67)),MID($Z67,SEARCH("977",$Z67)+3,20),$Z67)))</f>
        <v>14153051</v>
      </c>
      <c r="AB67" t="str">
        <f t="shared" ref="AB67:AB130" si="8">IF($AA67="","",IF(LEFT($AA67,1)="0",MID($AA67,2,20),$AA67))</f>
        <v>14153051</v>
      </c>
      <c r="AC67" t="str">
        <f t="shared" ref="AC67:AC130" si="9">IF($AB67="","Not Available","+977"&amp;$AB67)</f>
        <v>+97714153051</v>
      </c>
      <c r="AD67" t="str">
        <f t="shared" ref="AD67:AD130" si="10">IF($AB67="","Not Available",IF(AND(LEN($AB67)=10,LEFT($AB67,1)="9"),"Mobile",IF(AND(LEN($AB67)&gt;=8,LEN($AB67)&lt;=9),IF(ISNUMBER(SEARCH("/",$X67)),"Landline (multiple lines)","Landline"),"Unrecognised")))</f>
        <v>Landline</v>
      </c>
      <c r="AE67" t="str">
        <f t="shared" ref="AE67:AE130" si="11">IF($AB67="","Not Available",IF(AND(ISNUMBER(-$AB67),$AD67&lt;&gt;"Unrecognised"),"Valid","Check format"))</f>
        <v>Valid</v>
      </c>
    </row>
    <row r="68" spans="1:31" x14ac:dyDescent="0.3">
      <c r="A68" s="2" t="s">
        <v>234</v>
      </c>
      <c r="B68" s="2" t="s">
        <v>235</v>
      </c>
      <c r="C68" s="2" t="s">
        <v>236</v>
      </c>
      <c r="D68" s="2" t="s">
        <v>26</v>
      </c>
      <c r="E68" s="2" t="s">
        <v>236</v>
      </c>
      <c r="F68" s="2" t="s">
        <v>236</v>
      </c>
      <c r="G68" s="5" t="str" cm="1">
        <f t="array" ref="G68">IFERROR(INDEX(City_Lookup!$B$2:$B$297,MATCH(TRUE,ISNUMBER(SEARCH(City_Lookup!$A$2:$A$297,$F68&amp;" "&amp;$E68)),0)),"Not Available")</f>
        <v>Parsa</v>
      </c>
      <c r="H68" s="5" t="str">
        <f>IFERROR(INDEX(City_Lookup!$E$2:$E$66,MATCH($G68,City_Lookup!$D$2:$D$66,0)),"Not Available")</f>
        <v>Madhesh</v>
      </c>
      <c r="I68" s="2" t="s">
        <v>28</v>
      </c>
      <c r="J68" s="2" t="s">
        <v>29</v>
      </c>
      <c r="K68" s="2" t="s">
        <v>30</v>
      </c>
      <c r="L68" s="2"/>
      <c r="M68" s="2" t="s">
        <v>30</v>
      </c>
      <c r="N68" s="2" t="s">
        <v>31</v>
      </c>
      <c r="O68" s="2">
        <v>2</v>
      </c>
      <c r="P68" s="2" t="s">
        <v>27</v>
      </c>
      <c r="Q68" s="2" t="s">
        <v>238</v>
      </c>
      <c r="R68" s="2" t="s">
        <v>33</v>
      </c>
      <c r="S68" s="2" t="s">
        <v>27</v>
      </c>
      <c r="T68" s="2" t="s">
        <v>34</v>
      </c>
      <c r="U68" s="2" t="s">
        <v>35</v>
      </c>
      <c r="V68" s="2" t="s">
        <v>36</v>
      </c>
      <c r="W68" s="2" t="s">
        <v>37</v>
      </c>
      <c r="X68" s="4" t="s">
        <v>2486</v>
      </c>
      <c r="Y68" s="4" t="s">
        <v>2500</v>
      </c>
      <c r="Z68" t="str">
        <f t="shared" si="6"/>
        <v>97714153051</v>
      </c>
      <c r="AA68" t="str">
        <f t="shared" si="7"/>
        <v>14153051</v>
      </c>
      <c r="AB68" t="str">
        <f t="shared" si="8"/>
        <v>14153051</v>
      </c>
      <c r="AC68" t="str">
        <f t="shared" si="9"/>
        <v>+97714153051</v>
      </c>
      <c r="AD68" t="str">
        <f t="shared" si="10"/>
        <v>Landline</v>
      </c>
      <c r="AE68" t="str">
        <f t="shared" si="11"/>
        <v>Valid</v>
      </c>
    </row>
    <row r="69" spans="1:31" x14ac:dyDescent="0.3">
      <c r="A69" s="2" t="s">
        <v>234</v>
      </c>
      <c r="B69" s="2" t="s">
        <v>239</v>
      </c>
      <c r="C69" s="2" t="s">
        <v>236</v>
      </c>
      <c r="D69" s="2" t="s">
        <v>26</v>
      </c>
      <c r="E69" s="2" t="s">
        <v>236</v>
      </c>
      <c r="F69" s="2" t="s">
        <v>236</v>
      </c>
      <c r="G69" s="5" t="str" cm="1">
        <f t="array" ref="G69">IFERROR(INDEX(City_Lookup!$B$2:$B$297,MATCH(TRUE,ISNUMBER(SEARCH(City_Lookup!$A$2:$A$297,$F69&amp;" "&amp;$E69)),0)),"Not Available")</f>
        <v>Parsa</v>
      </c>
      <c r="H69" s="5" t="str">
        <f>IFERROR(INDEX(City_Lookup!$E$2:$E$66,MATCH($G69,City_Lookup!$D$2:$D$66,0)),"Not Available")</f>
        <v>Madhesh</v>
      </c>
      <c r="I69" s="2" t="s">
        <v>28</v>
      </c>
      <c r="J69" s="2" t="s">
        <v>39</v>
      </c>
      <c r="K69" s="2"/>
      <c r="L69" s="2" t="s">
        <v>40</v>
      </c>
      <c r="M69" s="2" t="s">
        <v>40</v>
      </c>
      <c r="N69" s="2" t="s">
        <v>31</v>
      </c>
      <c r="O69" s="2">
        <v>2</v>
      </c>
      <c r="P69" s="2" t="s">
        <v>27</v>
      </c>
      <c r="Q69" s="2" t="s">
        <v>238</v>
      </c>
      <c r="R69" s="2" t="s">
        <v>33</v>
      </c>
      <c r="S69" s="2" t="s">
        <v>27</v>
      </c>
      <c r="T69" s="2" t="s">
        <v>34</v>
      </c>
      <c r="U69" s="2" t="s">
        <v>35</v>
      </c>
      <c r="V69" s="2" t="s">
        <v>36</v>
      </c>
      <c r="W69" s="2" t="s">
        <v>37</v>
      </c>
      <c r="X69" s="4" t="s">
        <v>2486</v>
      </c>
      <c r="Y69" s="4" t="s">
        <v>2500</v>
      </c>
      <c r="Z69" t="str">
        <f t="shared" si="6"/>
        <v>97714153051</v>
      </c>
      <c r="AA69" t="str">
        <f t="shared" si="7"/>
        <v>14153051</v>
      </c>
      <c r="AB69" t="str">
        <f t="shared" si="8"/>
        <v>14153051</v>
      </c>
      <c r="AC69" t="str">
        <f t="shared" si="9"/>
        <v>+97714153051</v>
      </c>
      <c r="AD69" t="str">
        <f t="shared" si="10"/>
        <v>Landline</v>
      </c>
      <c r="AE69" t="str">
        <f t="shared" si="11"/>
        <v>Valid</v>
      </c>
    </row>
    <row r="70" spans="1:31" x14ac:dyDescent="0.3">
      <c r="A70" s="2" t="s">
        <v>240</v>
      </c>
      <c r="B70" s="2" t="s">
        <v>241</v>
      </c>
      <c r="C70" s="2" t="s">
        <v>242</v>
      </c>
      <c r="D70" s="2" t="s">
        <v>26</v>
      </c>
      <c r="E70" s="2" t="s">
        <v>242</v>
      </c>
      <c r="F70" s="2" t="s">
        <v>242</v>
      </c>
      <c r="G70" s="5" t="str" cm="1">
        <f t="array" ref="G70">IFERROR(INDEX(City_Lookup!$B$2:$B$297,MATCH(TRUE,ISNUMBER(SEARCH(City_Lookup!$A$2:$A$297,$F70&amp;" "&amp;$E70)),0)),"Not Available")</f>
        <v>Kailali</v>
      </c>
      <c r="H70" s="5" t="str">
        <f>IFERROR(INDEX(City_Lookup!$E$2:$E$66,MATCH($G70,City_Lookup!$D$2:$D$66,0)),"Not Available")</f>
        <v>Sudurpashchim</v>
      </c>
      <c r="I70" s="2" t="s">
        <v>28</v>
      </c>
      <c r="J70" s="2" t="s">
        <v>29</v>
      </c>
      <c r="K70" s="2" t="s">
        <v>30</v>
      </c>
      <c r="L70" s="2"/>
      <c r="M70" s="2" t="s">
        <v>30</v>
      </c>
      <c r="N70" s="2" t="s">
        <v>31</v>
      </c>
      <c r="O70" s="2">
        <v>2</v>
      </c>
      <c r="P70" s="2" t="s">
        <v>27</v>
      </c>
      <c r="Q70" s="2" t="s">
        <v>243</v>
      </c>
      <c r="R70" s="2" t="s">
        <v>33</v>
      </c>
      <c r="S70" s="2" t="s">
        <v>27</v>
      </c>
      <c r="T70" s="2" t="s">
        <v>34</v>
      </c>
      <c r="U70" s="2" t="s">
        <v>35</v>
      </c>
      <c r="V70" s="2" t="s">
        <v>36</v>
      </c>
      <c r="W70" s="2" t="s">
        <v>37</v>
      </c>
      <c r="X70" s="4" t="s">
        <v>2486</v>
      </c>
      <c r="Y70" s="4" t="s">
        <v>2500</v>
      </c>
      <c r="Z70" t="str">
        <f t="shared" si="6"/>
        <v>97714153051</v>
      </c>
      <c r="AA70" t="str">
        <f t="shared" si="7"/>
        <v>14153051</v>
      </c>
      <c r="AB70" t="str">
        <f t="shared" si="8"/>
        <v>14153051</v>
      </c>
      <c r="AC70" t="str">
        <f t="shared" si="9"/>
        <v>+97714153051</v>
      </c>
      <c r="AD70" t="str">
        <f t="shared" si="10"/>
        <v>Landline</v>
      </c>
      <c r="AE70" t="str">
        <f t="shared" si="11"/>
        <v>Valid</v>
      </c>
    </row>
    <row r="71" spans="1:31" x14ac:dyDescent="0.3">
      <c r="A71" s="2" t="s">
        <v>240</v>
      </c>
      <c r="B71" s="2" t="s">
        <v>244</v>
      </c>
      <c r="C71" s="2" t="s">
        <v>242</v>
      </c>
      <c r="D71" s="2" t="s">
        <v>26</v>
      </c>
      <c r="E71" s="2" t="s">
        <v>242</v>
      </c>
      <c r="F71" s="2" t="s">
        <v>242</v>
      </c>
      <c r="G71" s="5" t="str" cm="1">
        <f t="array" ref="G71">IFERROR(INDEX(City_Lookup!$B$2:$B$297,MATCH(TRUE,ISNUMBER(SEARCH(City_Lookup!$A$2:$A$297,$F71&amp;" "&amp;$E71)),0)),"Not Available")</f>
        <v>Kailali</v>
      </c>
      <c r="H71" s="5" t="str">
        <f>IFERROR(INDEX(City_Lookup!$E$2:$E$66,MATCH($G71,City_Lookup!$D$2:$D$66,0)),"Not Available")</f>
        <v>Sudurpashchim</v>
      </c>
      <c r="I71" s="2" t="s">
        <v>28</v>
      </c>
      <c r="J71" s="2" t="s">
        <v>39</v>
      </c>
      <c r="K71" s="2"/>
      <c r="L71" s="2" t="s">
        <v>40</v>
      </c>
      <c r="M71" s="2" t="s">
        <v>40</v>
      </c>
      <c r="N71" s="2" t="s">
        <v>31</v>
      </c>
      <c r="O71" s="2">
        <v>2</v>
      </c>
      <c r="P71" s="2" t="s">
        <v>27</v>
      </c>
      <c r="Q71" s="2" t="s">
        <v>243</v>
      </c>
      <c r="R71" s="2" t="s">
        <v>33</v>
      </c>
      <c r="S71" s="2" t="s">
        <v>27</v>
      </c>
      <c r="T71" s="2" t="s">
        <v>34</v>
      </c>
      <c r="U71" s="2" t="s">
        <v>35</v>
      </c>
      <c r="V71" s="2" t="s">
        <v>36</v>
      </c>
      <c r="W71" s="2" t="s">
        <v>37</v>
      </c>
      <c r="X71" s="4" t="s">
        <v>2486</v>
      </c>
      <c r="Y71" s="4" t="s">
        <v>2500</v>
      </c>
      <c r="Z71" t="str">
        <f t="shared" si="6"/>
        <v>97714153051</v>
      </c>
      <c r="AA71" t="str">
        <f t="shared" si="7"/>
        <v>14153051</v>
      </c>
      <c r="AB71" t="str">
        <f t="shared" si="8"/>
        <v>14153051</v>
      </c>
      <c r="AC71" t="str">
        <f t="shared" si="9"/>
        <v>+97714153051</v>
      </c>
      <c r="AD71" t="str">
        <f t="shared" si="10"/>
        <v>Landline</v>
      </c>
      <c r="AE71" t="str">
        <f t="shared" si="11"/>
        <v>Valid</v>
      </c>
    </row>
    <row r="72" spans="1:31" x14ac:dyDescent="0.3">
      <c r="A72" s="2" t="s">
        <v>245</v>
      </c>
      <c r="B72" s="2" t="s">
        <v>246</v>
      </c>
      <c r="C72" s="2" t="s">
        <v>247</v>
      </c>
      <c r="D72" s="2" t="s">
        <v>248</v>
      </c>
      <c r="E72" s="2" t="s">
        <v>247</v>
      </c>
      <c r="F72" s="2" t="s">
        <v>247</v>
      </c>
      <c r="G72" s="5" t="str" cm="1">
        <f t="array" ref="G72">IFERROR(INDEX(City_Lookup!$B$2:$B$297,MATCH(TRUE,ISNUMBER(SEARCH(City_Lookup!$A$2:$A$297,$F72&amp;" "&amp;$E72)),0)),"Not Available")</f>
        <v>Dang</v>
      </c>
      <c r="H72" s="5" t="str">
        <f>IFERROR(INDEX(City_Lookup!$E$2:$E$66,MATCH($G72,City_Lookup!$D$2:$D$66,0)),"Not Available")</f>
        <v>Lumbini</v>
      </c>
      <c r="I72" s="2" t="s">
        <v>28</v>
      </c>
      <c r="J72" s="2" t="s">
        <v>29</v>
      </c>
      <c r="K72" s="2" t="s">
        <v>250</v>
      </c>
      <c r="L72" s="2"/>
      <c r="M72" s="2" t="s">
        <v>250</v>
      </c>
      <c r="N72" s="2" t="s">
        <v>251</v>
      </c>
      <c r="O72" s="2">
        <v>1</v>
      </c>
      <c r="P72" s="2" t="s">
        <v>252</v>
      </c>
      <c r="Q72" s="2" t="s">
        <v>253</v>
      </c>
      <c r="R72" s="2" t="s">
        <v>33</v>
      </c>
      <c r="S72" s="2" t="s">
        <v>27</v>
      </c>
      <c r="T72" s="2" t="s">
        <v>34</v>
      </c>
      <c r="U72" s="2" t="s">
        <v>35</v>
      </c>
      <c r="V72" s="2" t="s">
        <v>36</v>
      </c>
      <c r="W72" s="2" t="s">
        <v>37</v>
      </c>
      <c r="X72" s="4" t="s">
        <v>252</v>
      </c>
      <c r="Y72" s="4" t="s">
        <v>2501</v>
      </c>
      <c r="Z72" t="str">
        <f t="shared" si="6"/>
        <v>9779857822446</v>
      </c>
      <c r="AA72" t="str">
        <f t="shared" si="7"/>
        <v>9857822446</v>
      </c>
      <c r="AB72" t="str">
        <f t="shared" si="8"/>
        <v>9857822446</v>
      </c>
      <c r="AC72" t="str">
        <f t="shared" si="9"/>
        <v>+9779857822446</v>
      </c>
      <c r="AD72" t="str">
        <f t="shared" si="10"/>
        <v>Mobile</v>
      </c>
      <c r="AE72" t="str">
        <f t="shared" si="11"/>
        <v>Valid</v>
      </c>
    </row>
    <row r="73" spans="1:31" x14ac:dyDescent="0.3">
      <c r="A73" s="2" t="s">
        <v>254</v>
      </c>
      <c r="B73" s="2" t="s">
        <v>255</v>
      </c>
      <c r="C73" s="2" t="s">
        <v>256</v>
      </c>
      <c r="D73" s="2" t="s">
        <v>248</v>
      </c>
      <c r="E73" s="2" t="s">
        <v>256</v>
      </c>
      <c r="F73" s="2" t="s">
        <v>256</v>
      </c>
      <c r="G73" s="5" t="str" cm="1">
        <f t="array" ref="G73">IFERROR(INDEX(City_Lookup!$B$2:$B$297,MATCH(TRUE,ISNUMBER(SEARCH(City_Lookup!$A$2:$A$297,$F73&amp;" "&amp;$E73)),0)),"Not Available")</f>
        <v>Rupandehi</v>
      </c>
      <c r="H73" s="5" t="str">
        <f>IFERROR(INDEX(City_Lookup!$E$2:$E$66,MATCH($G73,City_Lookup!$D$2:$D$66,0)),"Not Available")</f>
        <v>Lumbini</v>
      </c>
      <c r="I73" s="2" t="s">
        <v>28</v>
      </c>
      <c r="J73" s="2" t="s">
        <v>29</v>
      </c>
      <c r="K73" s="2" t="s">
        <v>250</v>
      </c>
      <c r="L73" s="2"/>
      <c r="M73" s="2" t="s">
        <v>250</v>
      </c>
      <c r="N73" s="2" t="s">
        <v>251</v>
      </c>
      <c r="O73" s="2">
        <v>1</v>
      </c>
      <c r="P73" s="2" t="s">
        <v>257</v>
      </c>
      <c r="Q73" s="2" t="s">
        <v>258</v>
      </c>
      <c r="R73" s="2" t="s">
        <v>33</v>
      </c>
      <c r="S73" s="2" t="s">
        <v>27</v>
      </c>
      <c r="T73" s="2" t="s">
        <v>34</v>
      </c>
      <c r="U73" s="2" t="s">
        <v>35</v>
      </c>
      <c r="V73" s="2" t="s">
        <v>36</v>
      </c>
      <c r="W73" s="2" t="s">
        <v>37</v>
      </c>
      <c r="X73" s="4" t="s">
        <v>257</v>
      </c>
      <c r="Y73" s="4" t="s">
        <v>2501</v>
      </c>
      <c r="Z73" t="str">
        <f t="shared" si="6"/>
        <v>9779857077797</v>
      </c>
      <c r="AA73" t="str">
        <f t="shared" si="7"/>
        <v>9857077797</v>
      </c>
      <c r="AB73" t="str">
        <f t="shared" si="8"/>
        <v>9857077797</v>
      </c>
      <c r="AC73" t="str">
        <f t="shared" si="9"/>
        <v>+9779857077797</v>
      </c>
      <c r="AD73" t="str">
        <f t="shared" si="10"/>
        <v>Mobile</v>
      </c>
      <c r="AE73" t="str">
        <f t="shared" si="11"/>
        <v>Valid</v>
      </c>
    </row>
    <row r="74" spans="1:31" x14ac:dyDescent="0.3">
      <c r="A74" s="2" t="s">
        <v>259</v>
      </c>
      <c r="B74" s="2" t="s">
        <v>260</v>
      </c>
      <c r="C74" s="2" t="s">
        <v>261</v>
      </c>
      <c r="D74" s="2" t="s">
        <v>248</v>
      </c>
      <c r="E74" s="2" t="s">
        <v>261</v>
      </c>
      <c r="F74" s="2" t="s">
        <v>261</v>
      </c>
      <c r="G74" s="5" t="str" cm="1">
        <f t="array" ref="G74">IFERROR(INDEX(City_Lookup!$B$2:$B$297,MATCH(TRUE,ISNUMBER(SEARCH(City_Lookup!$A$2:$A$297,$F74&amp;" "&amp;$E74)),0)),"Not Available")</f>
        <v>Banke</v>
      </c>
      <c r="H74" s="5" t="str">
        <f>IFERROR(INDEX(City_Lookup!$E$2:$E$66,MATCH($G74,City_Lookup!$D$2:$D$66,0)),"Not Available")</f>
        <v>Lumbini</v>
      </c>
      <c r="I74" s="2" t="s">
        <v>28</v>
      </c>
      <c r="J74" s="2" t="s">
        <v>29</v>
      </c>
      <c r="K74" s="2" t="s">
        <v>250</v>
      </c>
      <c r="L74" s="2"/>
      <c r="M74" s="2" t="s">
        <v>250</v>
      </c>
      <c r="N74" s="2" t="s">
        <v>251</v>
      </c>
      <c r="O74" s="2">
        <v>1</v>
      </c>
      <c r="P74" s="2" t="s">
        <v>262</v>
      </c>
      <c r="Q74" s="2" t="s">
        <v>263</v>
      </c>
      <c r="R74" s="2" t="s">
        <v>33</v>
      </c>
      <c r="S74" s="2" t="s">
        <v>27</v>
      </c>
      <c r="T74" s="2" t="s">
        <v>34</v>
      </c>
      <c r="U74" s="2" t="s">
        <v>35</v>
      </c>
      <c r="V74" s="2" t="s">
        <v>36</v>
      </c>
      <c r="W74" s="2" t="s">
        <v>37</v>
      </c>
      <c r="X74" s="4" t="s">
        <v>262</v>
      </c>
      <c r="Y74" s="4" t="s">
        <v>2501</v>
      </c>
      <c r="Z74" t="str">
        <f t="shared" si="6"/>
        <v>9779858041349</v>
      </c>
      <c r="AA74" t="str">
        <f t="shared" si="7"/>
        <v>9858041349</v>
      </c>
      <c r="AB74" t="str">
        <f t="shared" si="8"/>
        <v>9858041349</v>
      </c>
      <c r="AC74" t="str">
        <f t="shared" si="9"/>
        <v>+9779858041349</v>
      </c>
      <c r="AD74" t="str">
        <f t="shared" si="10"/>
        <v>Mobile</v>
      </c>
      <c r="AE74" t="str">
        <f t="shared" si="11"/>
        <v>Valid</v>
      </c>
    </row>
    <row r="75" spans="1:31" x14ac:dyDescent="0.3">
      <c r="A75" s="2" t="s">
        <v>264</v>
      </c>
      <c r="B75" s="2" t="s">
        <v>265</v>
      </c>
      <c r="C75" s="2" t="s">
        <v>266</v>
      </c>
      <c r="D75" s="2" t="s">
        <v>248</v>
      </c>
      <c r="E75" s="2" t="s">
        <v>266</v>
      </c>
      <c r="F75" s="2" t="s">
        <v>266</v>
      </c>
      <c r="G75" s="5" t="str" cm="1">
        <f t="array" ref="G75">IFERROR(INDEX(City_Lookup!$B$2:$B$297,MATCH(TRUE,ISNUMBER(SEARCH(City_Lookup!$A$2:$A$297,$F75&amp;" "&amp;$E75)),0)),"Not Available")</f>
        <v>Jhapa</v>
      </c>
      <c r="H75" s="5" t="str">
        <f>IFERROR(INDEX(City_Lookup!$E$2:$E$66,MATCH($G75,City_Lookup!$D$2:$D$66,0)),"Not Available")</f>
        <v>Koshi</v>
      </c>
      <c r="I75" s="2" t="s">
        <v>28</v>
      </c>
      <c r="J75" s="2" t="s">
        <v>29</v>
      </c>
      <c r="K75" s="2" t="s">
        <v>250</v>
      </c>
      <c r="L75" s="2"/>
      <c r="M75" s="2" t="s">
        <v>250</v>
      </c>
      <c r="N75" s="2" t="s">
        <v>251</v>
      </c>
      <c r="O75" s="2">
        <v>1</v>
      </c>
      <c r="P75" s="2" t="s">
        <v>267</v>
      </c>
      <c r="Q75" s="2" t="s">
        <v>268</v>
      </c>
      <c r="R75" s="2" t="s">
        <v>33</v>
      </c>
      <c r="S75" s="2" t="s">
        <v>27</v>
      </c>
      <c r="T75" s="2" t="s">
        <v>34</v>
      </c>
      <c r="U75" s="2" t="s">
        <v>35</v>
      </c>
      <c r="V75" s="2" t="s">
        <v>36</v>
      </c>
      <c r="W75" s="2" t="s">
        <v>37</v>
      </c>
      <c r="X75" s="4" t="s">
        <v>267</v>
      </c>
      <c r="Y75" s="4" t="s">
        <v>2501</v>
      </c>
      <c r="Z75" t="str">
        <f t="shared" si="6"/>
        <v>9779801455777</v>
      </c>
      <c r="AA75" t="str">
        <f t="shared" si="7"/>
        <v>9801455777</v>
      </c>
      <c r="AB75" t="str">
        <f t="shared" si="8"/>
        <v>9801455777</v>
      </c>
      <c r="AC75" t="str">
        <f t="shared" si="9"/>
        <v>+9779801455777</v>
      </c>
      <c r="AD75" t="str">
        <f t="shared" si="10"/>
        <v>Mobile</v>
      </c>
      <c r="AE75" t="str">
        <f t="shared" si="11"/>
        <v>Valid</v>
      </c>
    </row>
    <row r="76" spans="1:31" x14ac:dyDescent="0.3">
      <c r="A76" s="2" t="s">
        <v>269</v>
      </c>
      <c r="B76" s="2" t="s">
        <v>270</v>
      </c>
      <c r="C76" s="2" t="s">
        <v>271</v>
      </c>
      <c r="D76" s="2" t="s">
        <v>248</v>
      </c>
      <c r="E76" s="2" t="s">
        <v>271</v>
      </c>
      <c r="F76" s="2" t="s">
        <v>271</v>
      </c>
      <c r="G76" s="5" t="str" cm="1">
        <f t="array" ref="G76">IFERROR(INDEX(City_Lookup!$B$2:$B$297,MATCH(TRUE,ISNUMBER(SEARCH(City_Lookup!$A$2:$A$297,$F76&amp;" "&amp;$E76)),0)),"Not Available")</f>
        <v>Dang</v>
      </c>
      <c r="H76" s="5" t="str">
        <f>IFERROR(INDEX(City_Lookup!$E$2:$E$66,MATCH($G76,City_Lookup!$D$2:$D$66,0)),"Not Available")</f>
        <v>Lumbini</v>
      </c>
      <c r="I76" s="2" t="s">
        <v>28</v>
      </c>
      <c r="J76" s="2" t="s">
        <v>29</v>
      </c>
      <c r="K76" s="2" t="s">
        <v>250</v>
      </c>
      <c r="L76" s="2"/>
      <c r="M76" s="2" t="s">
        <v>250</v>
      </c>
      <c r="N76" s="2" t="s">
        <v>251</v>
      </c>
      <c r="O76" s="2">
        <v>1</v>
      </c>
      <c r="P76" s="2" t="s">
        <v>252</v>
      </c>
      <c r="Q76" s="2" t="s">
        <v>273</v>
      </c>
      <c r="R76" s="2" t="s">
        <v>33</v>
      </c>
      <c r="S76" s="2" t="s">
        <v>27</v>
      </c>
      <c r="T76" s="2" t="s">
        <v>34</v>
      </c>
      <c r="U76" s="2" t="s">
        <v>35</v>
      </c>
      <c r="V76" s="2" t="s">
        <v>36</v>
      </c>
      <c r="W76" s="2" t="s">
        <v>37</v>
      </c>
      <c r="X76" s="4" t="s">
        <v>252</v>
      </c>
      <c r="Y76" s="4" t="s">
        <v>2501</v>
      </c>
      <c r="Z76" t="str">
        <f t="shared" si="6"/>
        <v>9779857822446</v>
      </c>
      <c r="AA76" t="str">
        <f t="shared" si="7"/>
        <v>9857822446</v>
      </c>
      <c r="AB76" t="str">
        <f t="shared" si="8"/>
        <v>9857822446</v>
      </c>
      <c r="AC76" t="str">
        <f t="shared" si="9"/>
        <v>+9779857822446</v>
      </c>
      <c r="AD76" t="str">
        <f t="shared" si="10"/>
        <v>Mobile</v>
      </c>
      <c r="AE76" t="str">
        <f t="shared" si="11"/>
        <v>Valid</v>
      </c>
    </row>
    <row r="77" spans="1:31" x14ac:dyDescent="0.3">
      <c r="A77" s="2" t="s">
        <v>274</v>
      </c>
      <c r="B77" s="2" t="s">
        <v>275</v>
      </c>
      <c r="C77" s="2" t="s">
        <v>276</v>
      </c>
      <c r="D77" s="2" t="s">
        <v>248</v>
      </c>
      <c r="E77" s="2" t="s">
        <v>276</v>
      </c>
      <c r="F77" s="2" t="s">
        <v>276</v>
      </c>
      <c r="G77" s="5" t="str" cm="1">
        <f t="array" ref="G77">IFERROR(INDEX(City_Lookup!$B$2:$B$297,MATCH(TRUE,ISNUMBER(SEARCH(City_Lookup!$A$2:$A$297,$F77&amp;" "&amp;$E77)),0)),"Not Available")</f>
        <v>Chitwan</v>
      </c>
      <c r="H77" s="5" t="str">
        <f>IFERROR(INDEX(City_Lookup!$E$2:$E$66,MATCH($G77,City_Lookup!$D$2:$D$66,0)),"Not Available")</f>
        <v>Bagmati</v>
      </c>
      <c r="I77" s="2" t="s">
        <v>28</v>
      </c>
      <c r="J77" s="2" t="s">
        <v>29</v>
      </c>
      <c r="K77" s="2" t="s">
        <v>250</v>
      </c>
      <c r="L77" s="2"/>
      <c r="M77" s="2" t="s">
        <v>250</v>
      </c>
      <c r="N77" s="2" t="s">
        <v>251</v>
      </c>
      <c r="O77" s="2">
        <v>1</v>
      </c>
      <c r="P77" s="2" t="s">
        <v>252</v>
      </c>
      <c r="Q77" s="2" t="s">
        <v>277</v>
      </c>
      <c r="R77" s="2" t="s">
        <v>33</v>
      </c>
      <c r="S77" s="2" t="s">
        <v>27</v>
      </c>
      <c r="T77" s="2" t="s">
        <v>34</v>
      </c>
      <c r="U77" s="2" t="s">
        <v>35</v>
      </c>
      <c r="V77" s="2" t="s">
        <v>36</v>
      </c>
      <c r="W77" s="2" t="s">
        <v>37</v>
      </c>
      <c r="X77" s="4" t="s">
        <v>252</v>
      </c>
      <c r="Y77" s="4" t="s">
        <v>2501</v>
      </c>
      <c r="Z77" t="str">
        <f t="shared" si="6"/>
        <v>9779857822446</v>
      </c>
      <c r="AA77" t="str">
        <f t="shared" si="7"/>
        <v>9857822446</v>
      </c>
      <c r="AB77" t="str">
        <f t="shared" si="8"/>
        <v>9857822446</v>
      </c>
      <c r="AC77" t="str">
        <f t="shared" si="9"/>
        <v>+9779857822446</v>
      </c>
      <c r="AD77" t="str">
        <f t="shared" si="10"/>
        <v>Mobile</v>
      </c>
      <c r="AE77" t="str">
        <f t="shared" si="11"/>
        <v>Valid</v>
      </c>
    </row>
    <row r="78" spans="1:31" x14ac:dyDescent="0.3">
      <c r="A78" s="2" t="s">
        <v>278</v>
      </c>
      <c r="B78" s="2" t="s">
        <v>279</v>
      </c>
      <c r="C78" s="2" t="s">
        <v>280</v>
      </c>
      <c r="D78" s="2" t="s">
        <v>248</v>
      </c>
      <c r="E78" s="2" t="s">
        <v>280</v>
      </c>
      <c r="F78" s="2" t="s">
        <v>280</v>
      </c>
      <c r="G78" s="5" t="str" cm="1">
        <f t="array" ref="G78">IFERROR(INDEX(City_Lookup!$B$2:$B$297,MATCH(TRUE,ISNUMBER(SEARCH(City_Lookup!$A$2:$A$297,$F78&amp;" "&amp;$E78)),0)),"Not Available")</f>
        <v>Rupandehi</v>
      </c>
      <c r="H78" s="5" t="str">
        <f>IFERROR(INDEX(City_Lookup!$E$2:$E$66,MATCH($G78,City_Lookup!$D$2:$D$66,0)),"Not Available")</f>
        <v>Lumbini</v>
      </c>
      <c r="I78" s="2" t="s">
        <v>28</v>
      </c>
      <c r="J78" s="2" t="s">
        <v>29</v>
      </c>
      <c r="K78" s="2" t="s">
        <v>250</v>
      </c>
      <c r="L78" s="2"/>
      <c r="M78" s="2" t="s">
        <v>250</v>
      </c>
      <c r="N78" s="2" t="s">
        <v>251</v>
      </c>
      <c r="O78" s="2">
        <v>1</v>
      </c>
      <c r="P78" s="2" t="s">
        <v>257</v>
      </c>
      <c r="Q78" s="2" t="s">
        <v>281</v>
      </c>
      <c r="R78" s="2" t="s">
        <v>33</v>
      </c>
      <c r="S78" s="2" t="s">
        <v>27</v>
      </c>
      <c r="T78" s="2" t="s">
        <v>34</v>
      </c>
      <c r="U78" s="2" t="s">
        <v>35</v>
      </c>
      <c r="V78" s="2" t="s">
        <v>36</v>
      </c>
      <c r="W78" s="2" t="s">
        <v>37</v>
      </c>
      <c r="X78" s="4" t="s">
        <v>257</v>
      </c>
      <c r="Y78" s="4" t="s">
        <v>2501</v>
      </c>
      <c r="Z78" t="str">
        <f t="shared" si="6"/>
        <v>9779857077797</v>
      </c>
      <c r="AA78" t="str">
        <f t="shared" si="7"/>
        <v>9857077797</v>
      </c>
      <c r="AB78" t="str">
        <f t="shared" si="8"/>
        <v>9857077797</v>
      </c>
      <c r="AC78" t="str">
        <f t="shared" si="9"/>
        <v>+9779857077797</v>
      </c>
      <c r="AD78" t="str">
        <f t="shared" si="10"/>
        <v>Mobile</v>
      </c>
      <c r="AE78" t="str">
        <f t="shared" si="11"/>
        <v>Valid</v>
      </c>
    </row>
    <row r="79" spans="1:31" x14ac:dyDescent="0.3">
      <c r="A79" s="2" t="s">
        <v>282</v>
      </c>
      <c r="B79" s="2" t="s">
        <v>283</v>
      </c>
      <c r="C79" s="2" t="s">
        <v>284</v>
      </c>
      <c r="D79" s="2" t="s">
        <v>248</v>
      </c>
      <c r="E79" s="2" t="s">
        <v>284</v>
      </c>
      <c r="F79" s="2" t="s">
        <v>284</v>
      </c>
      <c r="G79" s="5" t="str" cm="1">
        <f t="array" ref="G79">IFERROR(INDEX(City_Lookup!$B$2:$B$297,MATCH(TRUE,ISNUMBER(SEARCH(City_Lookup!$A$2:$A$297,$F79&amp;" "&amp;$E79)),0)),"Not Available")</f>
        <v>Dang</v>
      </c>
      <c r="H79" s="5" t="str">
        <f>IFERROR(INDEX(City_Lookup!$E$2:$E$66,MATCH($G79,City_Lookup!$D$2:$D$66,0)),"Not Available")</f>
        <v>Lumbini</v>
      </c>
      <c r="I79" s="2" t="s">
        <v>28</v>
      </c>
      <c r="J79" s="2" t="s">
        <v>29</v>
      </c>
      <c r="K79" s="2" t="s">
        <v>250</v>
      </c>
      <c r="L79" s="2"/>
      <c r="M79" s="2" t="s">
        <v>250</v>
      </c>
      <c r="N79" s="2" t="s">
        <v>251</v>
      </c>
      <c r="O79" s="2">
        <v>1</v>
      </c>
      <c r="P79" s="2" t="s">
        <v>285</v>
      </c>
      <c r="Q79" s="2" t="s">
        <v>286</v>
      </c>
      <c r="R79" s="2" t="s">
        <v>33</v>
      </c>
      <c r="S79" s="2" t="s">
        <v>27</v>
      </c>
      <c r="T79" s="2" t="s">
        <v>34</v>
      </c>
      <c r="U79" s="2" t="s">
        <v>35</v>
      </c>
      <c r="V79" s="2" t="s">
        <v>36</v>
      </c>
      <c r="W79" s="2" t="s">
        <v>37</v>
      </c>
      <c r="X79" s="4" t="s">
        <v>285</v>
      </c>
      <c r="Y79" s="4" t="s">
        <v>2501</v>
      </c>
      <c r="Z79" t="str">
        <f t="shared" si="6"/>
        <v>9779816452720</v>
      </c>
      <c r="AA79" t="str">
        <f t="shared" si="7"/>
        <v>9816452720</v>
      </c>
      <c r="AB79" t="str">
        <f t="shared" si="8"/>
        <v>9816452720</v>
      </c>
      <c r="AC79" t="str">
        <f t="shared" si="9"/>
        <v>+9779816452720</v>
      </c>
      <c r="AD79" t="str">
        <f t="shared" si="10"/>
        <v>Mobile</v>
      </c>
      <c r="AE79" t="str">
        <f t="shared" si="11"/>
        <v>Valid</v>
      </c>
    </row>
    <row r="80" spans="1:31" x14ac:dyDescent="0.3">
      <c r="A80" s="2" t="s">
        <v>287</v>
      </c>
      <c r="B80" s="2" t="s">
        <v>288</v>
      </c>
      <c r="C80" s="2" t="s">
        <v>289</v>
      </c>
      <c r="D80" s="2" t="s">
        <v>248</v>
      </c>
      <c r="E80" s="2" t="s">
        <v>289</v>
      </c>
      <c r="F80" s="2" t="s">
        <v>289</v>
      </c>
      <c r="G80" s="5" t="str" cm="1">
        <f t="array" ref="G80">IFERROR(INDEX(City_Lookup!$B$2:$B$297,MATCH(TRUE,ISNUMBER(SEARCH(City_Lookup!$A$2:$A$297,$F80&amp;" "&amp;$E80)),0)),"Not Available")</f>
        <v>Dang</v>
      </c>
      <c r="H80" s="5" t="str">
        <f>IFERROR(INDEX(City_Lookup!$E$2:$E$66,MATCH($G80,City_Lookup!$D$2:$D$66,0)),"Not Available")</f>
        <v>Lumbini</v>
      </c>
      <c r="I80" s="2" t="s">
        <v>28</v>
      </c>
      <c r="J80" s="2" t="s">
        <v>29</v>
      </c>
      <c r="K80" s="2" t="s">
        <v>250</v>
      </c>
      <c r="L80" s="2"/>
      <c r="M80" s="2" t="s">
        <v>250</v>
      </c>
      <c r="N80" s="2" t="s">
        <v>251</v>
      </c>
      <c r="O80" s="2">
        <v>1</v>
      </c>
      <c r="P80" s="2" t="s">
        <v>252</v>
      </c>
      <c r="Q80" s="2" t="s">
        <v>291</v>
      </c>
      <c r="R80" s="2" t="s">
        <v>33</v>
      </c>
      <c r="S80" s="2" t="s">
        <v>27</v>
      </c>
      <c r="T80" s="2" t="s">
        <v>34</v>
      </c>
      <c r="U80" s="2" t="s">
        <v>35</v>
      </c>
      <c r="V80" s="2" t="s">
        <v>36</v>
      </c>
      <c r="W80" s="2" t="s">
        <v>37</v>
      </c>
      <c r="X80" s="4" t="s">
        <v>252</v>
      </c>
      <c r="Y80" s="4" t="s">
        <v>2501</v>
      </c>
      <c r="Z80" t="str">
        <f t="shared" si="6"/>
        <v>9779857822446</v>
      </c>
      <c r="AA80" t="str">
        <f t="shared" si="7"/>
        <v>9857822446</v>
      </c>
      <c r="AB80" t="str">
        <f t="shared" si="8"/>
        <v>9857822446</v>
      </c>
      <c r="AC80" t="str">
        <f t="shared" si="9"/>
        <v>+9779857822446</v>
      </c>
      <c r="AD80" t="str">
        <f t="shared" si="10"/>
        <v>Mobile</v>
      </c>
      <c r="AE80" t="str">
        <f t="shared" si="11"/>
        <v>Valid</v>
      </c>
    </row>
    <row r="81" spans="1:31" x14ac:dyDescent="0.3">
      <c r="A81" s="2" t="s">
        <v>292</v>
      </c>
      <c r="B81" s="2" t="s">
        <v>293</v>
      </c>
      <c r="C81" s="2" t="s">
        <v>294</v>
      </c>
      <c r="D81" s="2" t="s">
        <v>248</v>
      </c>
      <c r="E81" s="2" t="s">
        <v>294</v>
      </c>
      <c r="F81" s="2" t="s">
        <v>294</v>
      </c>
      <c r="G81" s="5" t="str" cm="1">
        <f t="array" ref="G81">IFERROR(INDEX(City_Lookup!$B$2:$B$297,MATCH(TRUE,ISNUMBER(SEARCH(City_Lookup!$A$2:$A$297,$F81&amp;" "&amp;$E81)),0)),"Not Available")</f>
        <v>Jhapa</v>
      </c>
      <c r="H81" s="5" t="str">
        <f>IFERROR(INDEX(City_Lookup!$E$2:$E$66,MATCH($G81,City_Lookup!$D$2:$D$66,0)),"Not Available")</f>
        <v>Koshi</v>
      </c>
      <c r="I81" s="2" t="s">
        <v>28</v>
      </c>
      <c r="J81" s="2" t="s">
        <v>29</v>
      </c>
      <c r="K81" s="2" t="s">
        <v>250</v>
      </c>
      <c r="L81" s="2"/>
      <c r="M81" s="2" t="s">
        <v>250</v>
      </c>
      <c r="N81" s="2" t="s">
        <v>251</v>
      </c>
      <c r="O81" s="2">
        <v>1</v>
      </c>
      <c r="P81" s="2" t="s">
        <v>252</v>
      </c>
      <c r="Q81" s="2" t="s">
        <v>295</v>
      </c>
      <c r="R81" s="2" t="s">
        <v>33</v>
      </c>
      <c r="S81" s="2" t="s">
        <v>27</v>
      </c>
      <c r="T81" s="2" t="s">
        <v>34</v>
      </c>
      <c r="U81" s="2" t="s">
        <v>35</v>
      </c>
      <c r="V81" s="2" t="s">
        <v>36</v>
      </c>
      <c r="W81" s="2" t="s">
        <v>37</v>
      </c>
      <c r="X81" s="4" t="s">
        <v>252</v>
      </c>
      <c r="Y81" s="4" t="s">
        <v>2501</v>
      </c>
      <c r="Z81" t="str">
        <f t="shared" si="6"/>
        <v>9779857822446</v>
      </c>
      <c r="AA81" t="str">
        <f t="shared" si="7"/>
        <v>9857822446</v>
      </c>
      <c r="AB81" t="str">
        <f t="shared" si="8"/>
        <v>9857822446</v>
      </c>
      <c r="AC81" t="str">
        <f t="shared" si="9"/>
        <v>+9779857822446</v>
      </c>
      <c r="AD81" t="str">
        <f t="shared" si="10"/>
        <v>Mobile</v>
      </c>
      <c r="AE81" t="str">
        <f t="shared" si="11"/>
        <v>Valid</v>
      </c>
    </row>
    <row r="82" spans="1:31" x14ac:dyDescent="0.3">
      <c r="A82" s="2" t="s">
        <v>296</v>
      </c>
      <c r="B82" s="2" t="s">
        <v>297</v>
      </c>
      <c r="C82" s="2" t="s">
        <v>298</v>
      </c>
      <c r="D82" s="2" t="s">
        <v>248</v>
      </c>
      <c r="E82" s="2" t="s">
        <v>298</v>
      </c>
      <c r="F82" s="2" t="s">
        <v>298</v>
      </c>
      <c r="G82" s="5" t="str" cm="1">
        <f t="array" ref="G82">IFERROR(INDEX(City_Lookup!$B$2:$B$297,MATCH(TRUE,ISNUMBER(SEARCH(City_Lookup!$A$2:$A$297,$F82&amp;" "&amp;$E82)),0)),"Not Available")</f>
        <v>Chitwan</v>
      </c>
      <c r="H82" s="5" t="str">
        <f>IFERROR(INDEX(City_Lookup!$E$2:$E$66,MATCH($G82,City_Lookup!$D$2:$D$66,0)),"Not Available")</f>
        <v>Bagmati</v>
      </c>
      <c r="I82" s="2" t="s">
        <v>28</v>
      </c>
      <c r="J82" s="2" t="s">
        <v>29</v>
      </c>
      <c r="K82" s="2" t="s">
        <v>250</v>
      </c>
      <c r="L82" s="2"/>
      <c r="M82" s="2" t="s">
        <v>250</v>
      </c>
      <c r="N82" s="2" t="s">
        <v>251</v>
      </c>
      <c r="O82" s="2">
        <v>1</v>
      </c>
      <c r="P82" s="2" t="s">
        <v>252</v>
      </c>
      <c r="Q82" s="2" t="s">
        <v>299</v>
      </c>
      <c r="R82" s="2" t="s">
        <v>33</v>
      </c>
      <c r="S82" s="2" t="s">
        <v>27</v>
      </c>
      <c r="T82" s="2" t="s">
        <v>34</v>
      </c>
      <c r="U82" s="2" t="s">
        <v>35</v>
      </c>
      <c r="V82" s="2" t="s">
        <v>36</v>
      </c>
      <c r="W82" s="2" t="s">
        <v>37</v>
      </c>
      <c r="X82" s="4" t="s">
        <v>252</v>
      </c>
      <c r="Y82" s="4" t="s">
        <v>2501</v>
      </c>
      <c r="Z82" t="str">
        <f t="shared" si="6"/>
        <v>9779857822446</v>
      </c>
      <c r="AA82" t="str">
        <f t="shared" si="7"/>
        <v>9857822446</v>
      </c>
      <c r="AB82" t="str">
        <f t="shared" si="8"/>
        <v>9857822446</v>
      </c>
      <c r="AC82" t="str">
        <f t="shared" si="9"/>
        <v>+9779857822446</v>
      </c>
      <c r="AD82" t="str">
        <f t="shared" si="10"/>
        <v>Mobile</v>
      </c>
      <c r="AE82" t="str">
        <f t="shared" si="11"/>
        <v>Valid</v>
      </c>
    </row>
    <row r="83" spans="1:31" x14ac:dyDescent="0.3">
      <c r="A83" s="2" t="s">
        <v>300</v>
      </c>
      <c r="B83" s="2" t="s">
        <v>301</v>
      </c>
      <c r="C83" s="2" t="s">
        <v>302</v>
      </c>
      <c r="D83" s="2" t="s">
        <v>248</v>
      </c>
      <c r="E83" s="2" t="s">
        <v>302</v>
      </c>
      <c r="F83" s="2" t="s">
        <v>302</v>
      </c>
      <c r="G83" s="5" t="str" cm="1">
        <f t="array" ref="G83">IFERROR(INDEX(City_Lookup!$B$2:$B$297,MATCH(TRUE,ISNUMBER(SEARCH(City_Lookup!$A$2:$A$297,$F83&amp;" "&amp;$E83)),0)),"Not Available")</f>
        <v>Sunsari</v>
      </c>
      <c r="H83" s="5" t="str">
        <f>IFERROR(INDEX(City_Lookup!$E$2:$E$66,MATCH($G83,City_Lookup!$D$2:$D$66,0)),"Not Available")</f>
        <v>Koshi</v>
      </c>
      <c r="I83" s="2" t="s">
        <v>28</v>
      </c>
      <c r="J83" s="2" t="s">
        <v>29</v>
      </c>
      <c r="K83" s="2" t="s">
        <v>250</v>
      </c>
      <c r="L83" s="2"/>
      <c r="M83" s="2" t="s">
        <v>250</v>
      </c>
      <c r="N83" s="2" t="s">
        <v>251</v>
      </c>
      <c r="O83" s="2">
        <v>1</v>
      </c>
      <c r="P83" s="2" t="s">
        <v>252</v>
      </c>
      <c r="Q83" s="2" t="s">
        <v>303</v>
      </c>
      <c r="R83" s="2" t="s">
        <v>33</v>
      </c>
      <c r="S83" s="2" t="s">
        <v>27</v>
      </c>
      <c r="T83" s="2" t="s">
        <v>34</v>
      </c>
      <c r="U83" s="2" t="s">
        <v>35</v>
      </c>
      <c r="V83" s="2" t="s">
        <v>36</v>
      </c>
      <c r="W83" s="2" t="s">
        <v>37</v>
      </c>
      <c r="X83" s="4" t="s">
        <v>252</v>
      </c>
      <c r="Y83" s="4" t="s">
        <v>2501</v>
      </c>
      <c r="Z83" t="str">
        <f t="shared" si="6"/>
        <v>9779857822446</v>
      </c>
      <c r="AA83" t="str">
        <f t="shared" si="7"/>
        <v>9857822446</v>
      </c>
      <c r="AB83" t="str">
        <f t="shared" si="8"/>
        <v>9857822446</v>
      </c>
      <c r="AC83" t="str">
        <f t="shared" si="9"/>
        <v>+9779857822446</v>
      </c>
      <c r="AD83" t="str">
        <f t="shared" si="10"/>
        <v>Mobile</v>
      </c>
      <c r="AE83" t="str">
        <f t="shared" si="11"/>
        <v>Valid</v>
      </c>
    </row>
    <row r="84" spans="1:31" x14ac:dyDescent="0.3">
      <c r="A84" s="2" t="s">
        <v>304</v>
      </c>
      <c r="B84" s="2" t="s">
        <v>305</v>
      </c>
      <c r="C84" s="2" t="s">
        <v>306</v>
      </c>
      <c r="D84" s="2" t="s">
        <v>248</v>
      </c>
      <c r="E84" s="2" t="s">
        <v>306</v>
      </c>
      <c r="F84" s="2" t="s">
        <v>306</v>
      </c>
      <c r="G84" s="5" t="str" cm="1">
        <f t="array" ref="G84">IFERROR(INDEX(City_Lookup!$B$2:$B$297,MATCH(TRUE,ISNUMBER(SEARCH(City_Lookup!$A$2:$A$297,$F84&amp;" "&amp;$E84)),0)),"Not Available")</f>
        <v>Kaski</v>
      </c>
      <c r="H84" s="5" t="str">
        <f>IFERROR(INDEX(City_Lookup!$E$2:$E$66,MATCH($G84,City_Lookup!$D$2:$D$66,0)),"Not Available")</f>
        <v>Gandaki</v>
      </c>
      <c r="I84" s="2" t="s">
        <v>28</v>
      </c>
      <c r="J84" s="2" t="s">
        <v>29</v>
      </c>
      <c r="K84" s="2" t="s">
        <v>250</v>
      </c>
      <c r="L84" s="2"/>
      <c r="M84" s="2" t="s">
        <v>250</v>
      </c>
      <c r="N84" s="2" t="s">
        <v>251</v>
      </c>
      <c r="O84" s="2">
        <v>1</v>
      </c>
      <c r="P84" s="2" t="s">
        <v>307</v>
      </c>
      <c r="Q84" s="2" t="s">
        <v>308</v>
      </c>
      <c r="R84" s="2" t="s">
        <v>33</v>
      </c>
      <c r="S84" s="2" t="s">
        <v>27</v>
      </c>
      <c r="T84" s="2" t="s">
        <v>34</v>
      </c>
      <c r="U84" s="2" t="s">
        <v>35</v>
      </c>
      <c r="V84" s="2" t="s">
        <v>36</v>
      </c>
      <c r="W84" s="2" t="s">
        <v>37</v>
      </c>
      <c r="X84" s="4" t="s">
        <v>307</v>
      </c>
      <c r="Y84" s="4" t="s">
        <v>2501</v>
      </c>
      <c r="Z84" t="str">
        <f t="shared" si="6"/>
        <v>9779802855484</v>
      </c>
      <c r="AA84" t="str">
        <f t="shared" si="7"/>
        <v>9802855484</v>
      </c>
      <c r="AB84" t="str">
        <f t="shared" si="8"/>
        <v>9802855484</v>
      </c>
      <c r="AC84" t="str">
        <f t="shared" si="9"/>
        <v>+9779802855484</v>
      </c>
      <c r="AD84" t="str">
        <f t="shared" si="10"/>
        <v>Mobile</v>
      </c>
      <c r="AE84" t="str">
        <f t="shared" si="11"/>
        <v>Valid</v>
      </c>
    </row>
    <row r="85" spans="1:31" x14ac:dyDescent="0.3">
      <c r="A85" s="2" t="s">
        <v>309</v>
      </c>
      <c r="B85" s="2" t="s">
        <v>310</v>
      </c>
      <c r="C85" s="2" t="s">
        <v>311</v>
      </c>
      <c r="D85" s="2" t="s">
        <v>248</v>
      </c>
      <c r="E85" s="2" t="s">
        <v>311</v>
      </c>
      <c r="F85" s="2" t="s">
        <v>311</v>
      </c>
      <c r="G85" s="5" t="str" cm="1">
        <f t="array" ref="G85">IFERROR(INDEX(City_Lookup!$B$2:$B$297,MATCH(TRUE,ISNUMBER(SEARCH(City_Lookup!$A$2:$A$297,$F85&amp;" "&amp;$E85)),0)),"Not Available")</f>
        <v>Banke</v>
      </c>
      <c r="H85" s="5" t="str">
        <f>IFERROR(INDEX(City_Lookup!$E$2:$E$66,MATCH($G85,City_Lookup!$D$2:$D$66,0)),"Not Available")</f>
        <v>Lumbini</v>
      </c>
      <c r="I85" s="2" t="s">
        <v>28</v>
      </c>
      <c r="J85" s="2" t="s">
        <v>29</v>
      </c>
      <c r="K85" s="2" t="s">
        <v>250</v>
      </c>
      <c r="L85" s="2"/>
      <c r="M85" s="2" t="s">
        <v>250</v>
      </c>
      <c r="N85" s="2" t="s">
        <v>251</v>
      </c>
      <c r="O85" s="2">
        <v>1</v>
      </c>
      <c r="P85" s="2" t="s">
        <v>252</v>
      </c>
      <c r="Q85" s="2" t="s">
        <v>312</v>
      </c>
      <c r="R85" s="2" t="s">
        <v>33</v>
      </c>
      <c r="S85" s="2" t="s">
        <v>27</v>
      </c>
      <c r="T85" s="2" t="s">
        <v>34</v>
      </c>
      <c r="U85" s="2" t="s">
        <v>35</v>
      </c>
      <c r="V85" s="2" t="s">
        <v>36</v>
      </c>
      <c r="W85" s="2" t="s">
        <v>37</v>
      </c>
      <c r="X85" s="4" t="s">
        <v>252</v>
      </c>
      <c r="Y85" s="4" t="s">
        <v>2501</v>
      </c>
      <c r="Z85" t="str">
        <f t="shared" si="6"/>
        <v>9779857822446</v>
      </c>
      <c r="AA85" t="str">
        <f t="shared" si="7"/>
        <v>9857822446</v>
      </c>
      <c r="AB85" t="str">
        <f t="shared" si="8"/>
        <v>9857822446</v>
      </c>
      <c r="AC85" t="str">
        <f t="shared" si="9"/>
        <v>+9779857822446</v>
      </c>
      <c r="AD85" t="str">
        <f t="shared" si="10"/>
        <v>Mobile</v>
      </c>
      <c r="AE85" t="str">
        <f t="shared" si="11"/>
        <v>Valid</v>
      </c>
    </row>
    <row r="86" spans="1:31" x14ac:dyDescent="0.3">
      <c r="A86" s="2" t="s">
        <v>313</v>
      </c>
      <c r="B86" s="2" t="s">
        <v>314</v>
      </c>
      <c r="C86" s="2" t="s">
        <v>315</v>
      </c>
      <c r="D86" s="2" t="s">
        <v>248</v>
      </c>
      <c r="E86" s="2" t="s">
        <v>315</v>
      </c>
      <c r="F86" s="2" t="s">
        <v>315</v>
      </c>
      <c r="G86" s="5" t="str" cm="1">
        <f t="array" ref="G86">IFERROR(INDEX(City_Lookup!$B$2:$B$297,MATCH(TRUE,ISNUMBER(SEARCH(City_Lookup!$A$2:$A$297,$F86&amp;" "&amp;$E86)),0)),"Not Available")</f>
        <v>Dhanusha</v>
      </c>
      <c r="H86" s="5" t="str">
        <f>IFERROR(INDEX(City_Lookup!$E$2:$E$66,MATCH($G86,City_Lookup!$D$2:$D$66,0)),"Not Available")</f>
        <v>Madhesh</v>
      </c>
      <c r="I86" s="2" t="s">
        <v>28</v>
      </c>
      <c r="J86" s="2" t="s">
        <v>29</v>
      </c>
      <c r="K86" s="2" t="s">
        <v>250</v>
      </c>
      <c r="L86" s="2"/>
      <c r="M86" s="2" t="s">
        <v>250</v>
      </c>
      <c r="N86" s="2" t="s">
        <v>251</v>
      </c>
      <c r="O86" s="2">
        <v>1</v>
      </c>
      <c r="P86" s="2" t="s">
        <v>316</v>
      </c>
      <c r="Q86" s="2" t="s">
        <v>317</v>
      </c>
      <c r="R86" s="2" t="s">
        <v>33</v>
      </c>
      <c r="S86" s="2" t="s">
        <v>27</v>
      </c>
      <c r="T86" s="2" t="s">
        <v>34</v>
      </c>
      <c r="U86" s="2" t="s">
        <v>35</v>
      </c>
      <c r="V86" s="2" t="s">
        <v>36</v>
      </c>
      <c r="W86" s="2" t="s">
        <v>37</v>
      </c>
      <c r="X86" s="4" t="s">
        <v>316</v>
      </c>
      <c r="Y86" s="4" t="s">
        <v>2501</v>
      </c>
      <c r="Z86" t="str">
        <f t="shared" si="6"/>
        <v>9779844039594</v>
      </c>
      <c r="AA86" t="str">
        <f t="shared" si="7"/>
        <v>9844039594</v>
      </c>
      <c r="AB86" t="str">
        <f t="shared" si="8"/>
        <v>9844039594</v>
      </c>
      <c r="AC86" t="str">
        <f t="shared" si="9"/>
        <v>+9779844039594</v>
      </c>
      <c r="AD86" t="str">
        <f t="shared" si="10"/>
        <v>Mobile</v>
      </c>
      <c r="AE86" t="str">
        <f t="shared" si="11"/>
        <v>Valid</v>
      </c>
    </row>
    <row r="87" spans="1:31" x14ac:dyDescent="0.3">
      <c r="A87" s="2" t="s">
        <v>318</v>
      </c>
      <c r="B87" s="2" t="s">
        <v>319</v>
      </c>
      <c r="C87" s="2" t="s">
        <v>320</v>
      </c>
      <c r="D87" s="2" t="s">
        <v>248</v>
      </c>
      <c r="E87" s="2" t="s">
        <v>320</v>
      </c>
      <c r="F87" s="2" t="s">
        <v>320</v>
      </c>
      <c r="G87" s="5" t="str" cm="1">
        <f t="array" ref="G87">IFERROR(INDEX(City_Lookup!$B$2:$B$297,MATCH(TRUE,ISNUMBER(SEARCH(City_Lookup!$A$2:$A$297,$F87&amp;" "&amp;$E87)),0)),"Not Available")</f>
        <v>Sunsari</v>
      </c>
      <c r="H87" s="5" t="str">
        <f>IFERROR(INDEX(City_Lookup!$E$2:$E$66,MATCH($G87,City_Lookup!$D$2:$D$66,0)),"Not Available")</f>
        <v>Koshi</v>
      </c>
      <c r="I87" s="2" t="s">
        <v>28</v>
      </c>
      <c r="J87" s="2" t="s">
        <v>29</v>
      </c>
      <c r="K87" s="2" t="s">
        <v>250</v>
      </c>
      <c r="L87" s="2"/>
      <c r="M87" s="2" t="s">
        <v>250</v>
      </c>
      <c r="N87" s="2" t="s">
        <v>251</v>
      </c>
      <c r="O87" s="2">
        <v>1</v>
      </c>
      <c r="P87" s="2" t="s">
        <v>321</v>
      </c>
      <c r="Q87" s="2" t="s">
        <v>322</v>
      </c>
      <c r="R87" s="2" t="s">
        <v>33</v>
      </c>
      <c r="S87" s="2" t="s">
        <v>27</v>
      </c>
      <c r="T87" s="2" t="s">
        <v>34</v>
      </c>
      <c r="U87" s="2" t="s">
        <v>35</v>
      </c>
      <c r="V87" s="2" t="s">
        <v>36</v>
      </c>
      <c r="W87" s="2" t="s">
        <v>37</v>
      </c>
      <c r="X87" s="4" t="s">
        <v>321</v>
      </c>
      <c r="Y87" s="4" t="s">
        <v>2501</v>
      </c>
      <c r="Z87" t="str">
        <f t="shared" si="6"/>
        <v>9779802600808</v>
      </c>
      <c r="AA87" t="str">
        <f t="shared" si="7"/>
        <v>9802600808</v>
      </c>
      <c r="AB87" t="str">
        <f t="shared" si="8"/>
        <v>9802600808</v>
      </c>
      <c r="AC87" t="str">
        <f t="shared" si="9"/>
        <v>+9779802600808</v>
      </c>
      <c r="AD87" t="str">
        <f t="shared" si="10"/>
        <v>Mobile</v>
      </c>
      <c r="AE87" t="str">
        <f t="shared" si="11"/>
        <v>Valid</v>
      </c>
    </row>
    <row r="88" spans="1:31" x14ac:dyDescent="0.3">
      <c r="A88" s="2" t="s">
        <v>323</v>
      </c>
      <c r="B88" s="2" t="s">
        <v>324</v>
      </c>
      <c r="C88" s="2" t="s">
        <v>325</v>
      </c>
      <c r="D88" s="2" t="s">
        <v>248</v>
      </c>
      <c r="E88" s="2" t="s">
        <v>325</v>
      </c>
      <c r="F88" s="2" t="s">
        <v>325</v>
      </c>
      <c r="G88" s="5" t="str" cm="1">
        <f t="array" ref="G88">IFERROR(INDEX(City_Lookup!$B$2:$B$297,MATCH(TRUE,ISNUMBER(SEARCH(City_Lookup!$A$2:$A$297,$F88&amp;" "&amp;$E88)),0)),"Not Available")</f>
        <v>Kailali</v>
      </c>
      <c r="H88" s="5" t="str">
        <f>IFERROR(INDEX(City_Lookup!$E$2:$E$66,MATCH($G88,City_Lookup!$D$2:$D$66,0)),"Not Available")</f>
        <v>Sudurpashchim</v>
      </c>
      <c r="I88" s="2" t="s">
        <v>28</v>
      </c>
      <c r="J88" s="2" t="s">
        <v>29</v>
      </c>
      <c r="K88" s="2" t="s">
        <v>250</v>
      </c>
      <c r="L88" s="2"/>
      <c r="M88" s="2" t="s">
        <v>250</v>
      </c>
      <c r="N88" s="2" t="s">
        <v>251</v>
      </c>
      <c r="O88" s="2">
        <v>1</v>
      </c>
      <c r="P88" s="2" t="s">
        <v>326</v>
      </c>
      <c r="Q88" s="2" t="s">
        <v>327</v>
      </c>
      <c r="R88" s="2" t="s">
        <v>33</v>
      </c>
      <c r="S88" s="2" t="s">
        <v>27</v>
      </c>
      <c r="T88" s="2" t="s">
        <v>34</v>
      </c>
      <c r="U88" s="2" t="s">
        <v>35</v>
      </c>
      <c r="V88" s="2" t="s">
        <v>36</v>
      </c>
      <c r="W88" s="2" t="s">
        <v>37</v>
      </c>
      <c r="X88" s="4" t="s">
        <v>326</v>
      </c>
      <c r="Y88" s="4" t="s">
        <v>2501</v>
      </c>
      <c r="Z88" t="str">
        <f t="shared" si="6"/>
        <v>9779858420415</v>
      </c>
      <c r="AA88" t="str">
        <f t="shared" si="7"/>
        <v>9858420415</v>
      </c>
      <c r="AB88" t="str">
        <f t="shared" si="8"/>
        <v>9858420415</v>
      </c>
      <c r="AC88" t="str">
        <f t="shared" si="9"/>
        <v>+9779858420415</v>
      </c>
      <c r="AD88" t="str">
        <f t="shared" si="10"/>
        <v>Mobile</v>
      </c>
      <c r="AE88" t="str">
        <f t="shared" si="11"/>
        <v>Valid</v>
      </c>
    </row>
    <row r="89" spans="1:31" x14ac:dyDescent="0.3">
      <c r="A89" s="2" t="s">
        <v>328</v>
      </c>
      <c r="B89" s="2" t="s">
        <v>329</v>
      </c>
      <c r="C89" s="2" t="s">
        <v>330</v>
      </c>
      <c r="D89" s="2" t="s">
        <v>248</v>
      </c>
      <c r="E89" s="2" t="s">
        <v>330</v>
      </c>
      <c r="F89" s="2" t="s">
        <v>330</v>
      </c>
      <c r="G89" s="5" t="str" cm="1">
        <f t="array" ref="G89">IFERROR(INDEX(City_Lookup!$B$2:$B$297,MATCH(TRUE,ISNUMBER(SEARCH(City_Lookup!$A$2:$A$297,$F89&amp;" "&amp;$E89)),0)),"Not Available")</f>
        <v>Rupandehi</v>
      </c>
      <c r="H89" s="5" t="str">
        <f>IFERROR(INDEX(City_Lookup!$E$2:$E$66,MATCH($G89,City_Lookup!$D$2:$D$66,0)),"Not Available")</f>
        <v>Lumbini</v>
      </c>
      <c r="I89" s="2" t="s">
        <v>28</v>
      </c>
      <c r="J89" s="2" t="s">
        <v>29</v>
      </c>
      <c r="K89" s="2" t="s">
        <v>250</v>
      </c>
      <c r="L89" s="2"/>
      <c r="M89" s="2" t="s">
        <v>250</v>
      </c>
      <c r="N89" s="2" t="s">
        <v>251</v>
      </c>
      <c r="O89" s="2">
        <v>1</v>
      </c>
      <c r="P89" s="2" t="s">
        <v>331</v>
      </c>
      <c r="Q89" s="2" t="s">
        <v>332</v>
      </c>
      <c r="R89" s="2" t="s">
        <v>33</v>
      </c>
      <c r="S89" s="2" t="s">
        <v>27</v>
      </c>
      <c r="T89" s="2" t="s">
        <v>34</v>
      </c>
      <c r="U89" s="2" t="s">
        <v>35</v>
      </c>
      <c r="V89" s="2" t="s">
        <v>36</v>
      </c>
      <c r="W89" s="2" t="s">
        <v>37</v>
      </c>
      <c r="X89" s="4" t="s">
        <v>331</v>
      </c>
      <c r="Y89" s="4" t="s">
        <v>2501</v>
      </c>
      <c r="Z89" t="str">
        <f t="shared" si="6"/>
        <v>9779857028014</v>
      </c>
      <c r="AA89" t="str">
        <f t="shared" si="7"/>
        <v>9857028014</v>
      </c>
      <c r="AB89" t="str">
        <f t="shared" si="8"/>
        <v>9857028014</v>
      </c>
      <c r="AC89" t="str">
        <f t="shared" si="9"/>
        <v>+9779857028014</v>
      </c>
      <c r="AD89" t="str">
        <f t="shared" si="10"/>
        <v>Mobile</v>
      </c>
      <c r="AE89" t="str">
        <f t="shared" si="11"/>
        <v>Valid</v>
      </c>
    </row>
    <row r="90" spans="1:31" x14ac:dyDescent="0.3">
      <c r="A90" s="2" t="s">
        <v>333</v>
      </c>
      <c r="B90" s="2" t="s">
        <v>334</v>
      </c>
      <c r="C90" s="2" t="s">
        <v>335</v>
      </c>
      <c r="D90" s="2" t="s">
        <v>248</v>
      </c>
      <c r="E90" s="2" t="s">
        <v>335</v>
      </c>
      <c r="F90" s="2" t="s">
        <v>335</v>
      </c>
      <c r="G90" s="5" t="str" cm="1">
        <f t="array" ref="G90">IFERROR(INDEX(City_Lookup!$B$2:$B$297,MATCH(TRUE,ISNUMBER(SEARCH(City_Lookup!$A$2:$A$297,$F90&amp;" "&amp;$E90)),0)),"Not Available")</f>
        <v>Jhapa</v>
      </c>
      <c r="H90" s="5" t="str">
        <f>IFERROR(INDEX(City_Lookup!$E$2:$E$66,MATCH($G90,City_Lookup!$D$2:$D$66,0)),"Not Available")</f>
        <v>Koshi</v>
      </c>
      <c r="I90" s="2" t="s">
        <v>28</v>
      </c>
      <c r="J90" s="2" t="s">
        <v>29</v>
      </c>
      <c r="K90" s="2" t="s">
        <v>250</v>
      </c>
      <c r="L90" s="2"/>
      <c r="M90" s="2" t="s">
        <v>250</v>
      </c>
      <c r="N90" s="2" t="s">
        <v>251</v>
      </c>
      <c r="O90" s="2">
        <v>1</v>
      </c>
      <c r="P90" s="2" t="s">
        <v>336</v>
      </c>
      <c r="Q90" s="2" t="s">
        <v>337</v>
      </c>
      <c r="R90" s="2" t="s">
        <v>33</v>
      </c>
      <c r="S90" s="2" t="s">
        <v>27</v>
      </c>
      <c r="T90" s="2" t="s">
        <v>34</v>
      </c>
      <c r="U90" s="2" t="s">
        <v>35</v>
      </c>
      <c r="V90" s="2" t="s">
        <v>36</v>
      </c>
      <c r="W90" s="2" t="s">
        <v>37</v>
      </c>
      <c r="X90" s="4" t="s">
        <v>336</v>
      </c>
      <c r="Y90" s="4" t="s">
        <v>2501</v>
      </c>
      <c r="Z90" t="str">
        <f t="shared" si="6"/>
        <v>9779801432290</v>
      </c>
      <c r="AA90" t="str">
        <f t="shared" si="7"/>
        <v>9801432290</v>
      </c>
      <c r="AB90" t="str">
        <f t="shared" si="8"/>
        <v>9801432290</v>
      </c>
      <c r="AC90" t="str">
        <f t="shared" si="9"/>
        <v>+9779801432290</v>
      </c>
      <c r="AD90" t="str">
        <f t="shared" si="10"/>
        <v>Mobile</v>
      </c>
      <c r="AE90" t="str">
        <f t="shared" si="11"/>
        <v>Valid</v>
      </c>
    </row>
    <row r="91" spans="1:31" x14ac:dyDescent="0.3">
      <c r="A91" s="2" t="s">
        <v>338</v>
      </c>
      <c r="B91" s="2" t="s">
        <v>339</v>
      </c>
      <c r="C91" s="2" t="s">
        <v>340</v>
      </c>
      <c r="D91" s="2" t="s">
        <v>248</v>
      </c>
      <c r="E91" s="2" t="s">
        <v>340</v>
      </c>
      <c r="F91" s="2" t="s">
        <v>340</v>
      </c>
      <c r="G91" s="5" t="str" cm="1">
        <f t="array" ref="G91">IFERROR(INDEX(City_Lookup!$B$2:$B$297,MATCH(TRUE,ISNUMBER(SEARCH(City_Lookup!$A$2:$A$297,$F91&amp;" "&amp;$E91)),0)),"Not Available")</f>
        <v>Parsa</v>
      </c>
      <c r="H91" s="5" t="str">
        <f>IFERROR(INDEX(City_Lookup!$E$2:$E$66,MATCH($G91,City_Lookup!$D$2:$D$66,0)),"Not Available")</f>
        <v>Madhesh</v>
      </c>
      <c r="I91" s="2" t="s">
        <v>28</v>
      </c>
      <c r="J91" s="2" t="s">
        <v>29</v>
      </c>
      <c r="K91" s="2" t="s">
        <v>250</v>
      </c>
      <c r="L91" s="2"/>
      <c r="M91" s="2" t="s">
        <v>250</v>
      </c>
      <c r="N91" s="2" t="s">
        <v>251</v>
      </c>
      <c r="O91" s="2">
        <v>1</v>
      </c>
      <c r="P91" s="2" t="s">
        <v>336</v>
      </c>
      <c r="Q91" s="2" t="s">
        <v>341</v>
      </c>
      <c r="R91" s="2" t="s">
        <v>33</v>
      </c>
      <c r="S91" s="2" t="s">
        <v>27</v>
      </c>
      <c r="T91" s="2" t="s">
        <v>34</v>
      </c>
      <c r="U91" s="2" t="s">
        <v>35</v>
      </c>
      <c r="V91" s="2" t="s">
        <v>36</v>
      </c>
      <c r="W91" s="2" t="s">
        <v>37</v>
      </c>
      <c r="X91" s="4" t="s">
        <v>336</v>
      </c>
      <c r="Y91" s="4" t="s">
        <v>2501</v>
      </c>
      <c r="Z91" t="str">
        <f t="shared" si="6"/>
        <v>9779801432290</v>
      </c>
      <c r="AA91" t="str">
        <f t="shared" si="7"/>
        <v>9801432290</v>
      </c>
      <c r="AB91" t="str">
        <f t="shared" si="8"/>
        <v>9801432290</v>
      </c>
      <c r="AC91" t="str">
        <f t="shared" si="9"/>
        <v>+9779801432290</v>
      </c>
      <c r="AD91" t="str">
        <f t="shared" si="10"/>
        <v>Mobile</v>
      </c>
      <c r="AE91" t="str">
        <f t="shared" si="11"/>
        <v>Valid</v>
      </c>
    </row>
    <row r="92" spans="1:31" x14ac:dyDescent="0.3">
      <c r="A92" s="2" t="s">
        <v>342</v>
      </c>
      <c r="B92" s="2" t="s">
        <v>343</v>
      </c>
      <c r="C92" s="2" t="s">
        <v>344</v>
      </c>
      <c r="D92" s="2" t="s">
        <v>248</v>
      </c>
      <c r="E92" s="2" t="s">
        <v>344</v>
      </c>
      <c r="F92" s="2" t="s">
        <v>344</v>
      </c>
      <c r="G92" s="5" t="str" cm="1">
        <f t="array" ref="G92">IFERROR(INDEX(City_Lookup!$B$2:$B$297,MATCH(TRUE,ISNUMBER(SEARCH(City_Lookup!$A$2:$A$297,$F92&amp;" "&amp;$E92)),0)),"Not Available")</f>
        <v>Morang</v>
      </c>
      <c r="H92" s="5" t="str">
        <f>IFERROR(INDEX(City_Lookup!$E$2:$E$66,MATCH($G92,City_Lookup!$D$2:$D$66,0)),"Not Available")</f>
        <v>Koshi</v>
      </c>
      <c r="I92" s="2" t="s">
        <v>28</v>
      </c>
      <c r="J92" s="2" t="s">
        <v>29</v>
      </c>
      <c r="K92" s="2" t="s">
        <v>250</v>
      </c>
      <c r="L92" s="2"/>
      <c r="M92" s="2" t="s">
        <v>250</v>
      </c>
      <c r="N92" s="2" t="s">
        <v>251</v>
      </c>
      <c r="O92" s="2">
        <v>1</v>
      </c>
      <c r="P92" s="2" t="s">
        <v>345</v>
      </c>
      <c r="Q92" s="2" t="s">
        <v>346</v>
      </c>
      <c r="R92" s="2" t="s">
        <v>33</v>
      </c>
      <c r="S92" s="2" t="s">
        <v>27</v>
      </c>
      <c r="T92" s="2" t="s">
        <v>34</v>
      </c>
      <c r="U92" s="2" t="s">
        <v>35</v>
      </c>
      <c r="V92" s="2" t="s">
        <v>36</v>
      </c>
      <c r="W92" s="2" t="s">
        <v>37</v>
      </c>
      <c r="X92" s="4" t="s">
        <v>345</v>
      </c>
      <c r="Y92" s="4" t="s">
        <v>2501</v>
      </c>
      <c r="Z92" t="str">
        <f t="shared" si="6"/>
        <v>9779802730798</v>
      </c>
      <c r="AA92" t="str">
        <f t="shared" si="7"/>
        <v>9802730798</v>
      </c>
      <c r="AB92" t="str">
        <f t="shared" si="8"/>
        <v>9802730798</v>
      </c>
      <c r="AC92" t="str">
        <f t="shared" si="9"/>
        <v>+9779802730798</v>
      </c>
      <c r="AD92" t="str">
        <f t="shared" si="10"/>
        <v>Mobile</v>
      </c>
      <c r="AE92" t="str">
        <f t="shared" si="11"/>
        <v>Valid</v>
      </c>
    </row>
    <row r="93" spans="1:31" x14ac:dyDescent="0.3">
      <c r="A93" s="2" t="s">
        <v>347</v>
      </c>
      <c r="B93" s="2" t="s">
        <v>348</v>
      </c>
      <c r="C93" s="2" t="s">
        <v>349</v>
      </c>
      <c r="D93" s="2" t="s">
        <v>248</v>
      </c>
      <c r="E93" s="2" t="s">
        <v>349</v>
      </c>
      <c r="F93" s="2" t="s">
        <v>349</v>
      </c>
      <c r="G93" s="5" t="str" cm="1">
        <f t="array" ref="G93">IFERROR(INDEX(City_Lookup!$B$2:$B$297,MATCH(TRUE,ISNUMBER(SEARCH(City_Lookup!$A$2:$A$297,$F93&amp;" "&amp;$E93)),0)),"Not Available")</f>
        <v>Chitwan</v>
      </c>
      <c r="H93" s="5" t="str">
        <f>IFERROR(INDEX(City_Lookup!$E$2:$E$66,MATCH($G93,City_Lookup!$D$2:$D$66,0)),"Not Available")</f>
        <v>Bagmati</v>
      </c>
      <c r="I93" s="2" t="s">
        <v>28</v>
      </c>
      <c r="J93" s="2" t="s">
        <v>29</v>
      </c>
      <c r="K93" s="2" t="s">
        <v>250</v>
      </c>
      <c r="L93" s="2"/>
      <c r="M93" s="2" t="s">
        <v>250</v>
      </c>
      <c r="N93" s="2" t="s">
        <v>251</v>
      </c>
      <c r="O93" s="2">
        <v>1</v>
      </c>
      <c r="P93" s="2" t="s">
        <v>350</v>
      </c>
      <c r="Q93" s="2" t="s">
        <v>351</v>
      </c>
      <c r="R93" s="2" t="s">
        <v>33</v>
      </c>
      <c r="S93" s="2" t="s">
        <v>27</v>
      </c>
      <c r="T93" s="2" t="s">
        <v>34</v>
      </c>
      <c r="U93" s="2" t="s">
        <v>35</v>
      </c>
      <c r="V93" s="2" t="s">
        <v>36</v>
      </c>
      <c r="W93" s="2" t="s">
        <v>37</v>
      </c>
      <c r="X93" s="4" t="s">
        <v>350</v>
      </c>
      <c r="Y93" s="4" t="s">
        <v>2501</v>
      </c>
      <c r="Z93" t="str">
        <f t="shared" si="6"/>
        <v>9779801360526</v>
      </c>
      <c r="AA93" t="str">
        <f t="shared" si="7"/>
        <v>9801360526</v>
      </c>
      <c r="AB93" t="str">
        <f t="shared" si="8"/>
        <v>9801360526</v>
      </c>
      <c r="AC93" t="str">
        <f t="shared" si="9"/>
        <v>+9779801360526</v>
      </c>
      <c r="AD93" t="str">
        <f t="shared" si="10"/>
        <v>Mobile</v>
      </c>
      <c r="AE93" t="str">
        <f t="shared" si="11"/>
        <v>Valid</v>
      </c>
    </row>
    <row r="94" spans="1:31" x14ac:dyDescent="0.3">
      <c r="A94" s="2" t="s">
        <v>352</v>
      </c>
      <c r="B94" s="2" t="s">
        <v>353</v>
      </c>
      <c r="C94" s="2" t="s">
        <v>354</v>
      </c>
      <c r="D94" s="2" t="s">
        <v>355</v>
      </c>
      <c r="E94" s="2" t="s">
        <v>354</v>
      </c>
      <c r="F94" s="2" t="s">
        <v>354</v>
      </c>
      <c r="G94" s="5" t="str" cm="1">
        <f t="array" ref="G94">IFERROR(INDEX(City_Lookup!$B$2:$B$297,MATCH(TRUE,ISNUMBER(SEARCH(City_Lookup!$A$2:$A$297,$F94&amp;" "&amp;$E94)),0)),"Not Available")</f>
        <v>Kathmandu</v>
      </c>
      <c r="H94" s="5" t="str">
        <f>IFERROR(INDEX(City_Lookup!$E$2:$E$66,MATCH($G94,City_Lookup!$D$2:$D$66,0)),"Not Available")</f>
        <v>Bagmati</v>
      </c>
      <c r="I94" s="2" t="s">
        <v>28</v>
      </c>
      <c r="J94" s="2" t="s">
        <v>39</v>
      </c>
      <c r="K94" s="2"/>
      <c r="L94" s="2" t="s">
        <v>356</v>
      </c>
      <c r="M94" s="2" t="s">
        <v>356</v>
      </c>
      <c r="N94" s="2" t="s">
        <v>357</v>
      </c>
      <c r="O94" s="2">
        <v>1</v>
      </c>
      <c r="P94" s="2" t="s">
        <v>358</v>
      </c>
      <c r="Q94" s="2" t="s">
        <v>359</v>
      </c>
      <c r="R94" s="2" t="s">
        <v>33</v>
      </c>
      <c r="S94" s="2" t="s">
        <v>27</v>
      </c>
      <c r="T94" s="2" t="s">
        <v>34</v>
      </c>
      <c r="U94" s="2" t="s">
        <v>35</v>
      </c>
      <c r="V94" s="2" t="s">
        <v>36</v>
      </c>
      <c r="W94" s="2" t="s">
        <v>37</v>
      </c>
      <c r="X94" s="4" t="s">
        <v>358</v>
      </c>
      <c r="Y94" s="4" t="s">
        <v>2501</v>
      </c>
      <c r="Z94" t="str">
        <f t="shared" si="6"/>
        <v>977015911553</v>
      </c>
      <c r="AA94" t="str">
        <f t="shared" si="7"/>
        <v>015911553</v>
      </c>
      <c r="AB94" t="str">
        <f t="shared" si="8"/>
        <v>15911553</v>
      </c>
      <c r="AC94" t="str">
        <f t="shared" si="9"/>
        <v>+97715911553</v>
      </c>
      <c r="AD94" t="str">
        <f t="shared" si="10"/>
        <v>Landline (multiple lines)</v>
      </c>
      <c r="AE94" t="str">
        <f t="shared" si="11"/>
        <v>Valid</v>
      </c>
    </row>
    <row r="95" spans="1:31" x14ac:dyDescent="0.3">
      <c r="A95" s="2" t="s">
        <v>360</v>
      </c>
      <c r="B95" s="2" t="s">
        <v>361</v>
      </c>
      <c r="C95" s="2" t="s">
        <v>362</v>
      </c>
      <c r="D95" s="2" t="s">
        <v>355</v>
      </c>
      <c r="E95" s="2" t="s">
        <v>362</v>
      </c>
      <c r="F95" s="2" t="s">
        <v>362</v>
      </c>
      <c r="G95" s="5" t="str" cm="1">
        <f t="array" ref="G95">IFERROR(INDEX(City_Lookup!$B$2:$B$297,MATCH(TRUE,ISNUMBER(SEARCH(City_Lookup!$A$2:$A$297,$F95&amp;" "&amp;$E95)),0)),"Not Available")</f>
        <v>Parsa</v>
      </c>
      <c r="H95" s="5" t="str">
        <f>IFERROR(INDEX(City_Lookup!$E$2:$E$66,MATCH($G95,City_Lookup!$D$2:$D$66,0)),"Not Available")</f>
        <v>Madhesh</v>
      </c>
      <c r="I95" s="2" t="s">
        <v>28</v>
      </c>
      <c r="J95" s="2" t="s">
        <v>39</v>
      </c>
      <c r="K95" s="2"/>
      <c r="L95" s="2" t="s">
        <v>356</v>
      </c>
      <c r="M95" s="2" t="s">
        <v>356</v>
      </c>
      <c r="N95" s="2" t="s">
        <v>357</v>
      </c>
      <c r="O95" s="2">
        <v>1</v>
      </c>
      <c r="P95" s="2" t="s">
        <v>363</v>
      </c>
      <c r="Q95" s="2" t="s">
        <v>364</v>
      </c>
      <c r="R95" s="2" t="s">
        <v>33</v>
      </c>
      <c r="S95" s="2" t="s">
        <v>27</v>
      </c>
      <c r="T95" s="2" t="s">
        <v>34</v>
      </c>
      <c r="U95" s="2" t="s">
        <v>35</v>
      </c>
      <c r="V95" s="2" t="s">
        <v>36</v>
      </c>
      <c r="W95" s="2" t="s">
        <v>37</v>
      </c>
      <c r="X95" s="4" t="s">
        <v>363</v>
      </c>
      <c r="Y95" s="4" t="s">
        <v>2501</v>
      </c>
      <c r="Z95" t="str">
        <f t="shared" si="6"/>
        <v>977091523714</v>
      </c>
      <c r="AA95" t="str">
        <f t="shared" si="7"/>
        <v>091523714</v>
      </c>
      <c r="AB95" t="str">
        <f t="shared" si="8"/>
        <v>91523714</v>
      </c>
      <c r="AC95" t="str">
        <f t="shared" si="9"/>
        <v>+97791523714</v>
      </c>
      <c r="AD95" t="str">
        <f t="shared" si="10"/>
        <v>Landline (multiple lines)</v>
      </c>
      <c r="AE95" t="str">
        <f t="shared" si="11"/>
        <v>Valid</v>
      </c>
    </row>
    <row r="96" spans="1:31" x14ac:dyDescent="0.3">
      <c r="A96" s="2" t="s">
        <v>365</v>
      </c>
      <c r="B96" s="2" t="s">
        <v>366</v>
      </c>
      <c r="C96" s="2" t="s">
        <v>367</v>
      </c>
      <c r="D96" s="2" t="s">
        <v>355</v>
      </c>
      <c r="E96" s="2" t="s">
        <v>367</v>
      </c>
      <c r="F96" s="2" t="s">
        <v>367</v>
      </c>
      <c r="G96" s="5" t="str" cm="1">
        <f t="array" ref="G96">IFERROR(INDEX(City_Lookup!$B$2:$B$297,MATCH(TRUE,ISNUMBER(SEARCH(City_Lookup!$A$2:$A$297,$F96&amp;" "&amp;$E96)),0)),"Not Available")</f>
        <v>Kathmandu</v>
      </c>
      <c r="H96" s="5" t="str">
        <f>IFERROR(INDEX(City_Lookup!$E$2:$E$66,MATCH($G96,City_Lookup!$D$2:$D$66,0)),"Not Available")</f>
        <v>Bagmati</v>
      </c>
      <c r="I96" s="2" t="s">
        <v>28</v>
      </c>
      <c r="J96" s="2" t="s">
        <v>39</v>
      </c>
      <c r="K96" s="2"/>
      <c r="L96" s="2" t="s">
        <v>356</v>
      </c>
      <c r="M96" s="2" t="s">
        <v>356</v>
      </c>
      <c r="N96" s="2" t="s">
        <v>357</v>
      </c>
      <c r="O96" s="2">
        <v>1</v>
      </c>
      <c r="P96" s="2" t="s">
        <v>368</v>
      </c>
      <c r="Q96" s="2" t="s">
        <v>369</v>
      </c>
      <c r="R96" s="2" t="s">
        <v>33</v>
      </c>
      <c r="S96" s="2" t="s">
        <v>27</v>
      </c>
      <c r="T96" s="2" t="s">
        <v>34</v>
      </c>
      <c r="U96" s="2" t="s">
        <v>35</v>
      </c>
      <c r="V96" s="2" t="s">
        <v>36</v>
      </c>
      <c r="W96" s="2" t="s">
        <v>37</v>
      </c>
      <c r="X96" s="4" t="s">
        <v>368</v>
      </c>
      <c r="Y96" s="4" t="s">
        <v>2501</v>
      </c>
      <c r="Z96" t="str">
        <f t="shared" si="6"/>
        <v>977014111891</v>
      </c>
      <c r="AA96" t="str">
        <f t="shared" si="7"/>
        <v>014111891</v>
      </c>
      <c r="AB96" t="str">
        <f t="shared" si="8"/>
        <v>14111891</v>
      </c>
      <c r="AC96" t="str">
        <f t="shared" si="9"/>
        <v>+97714111891</v>
      </c>
      <c r="AD96" t="str">
        <f t="shared" si="10"/>
        <v>Landline (multiple lines)</v>
      </c>
      <c r="AE96" t="str">
        <f t="shared" si="11"/>
        <v>Valid</v>
      </c>
    </row>
    <row r="97" spans="1:31" x14ac:dyDescent="0.3">
      <c r="A97" s="2" t="s">
        <v>370</v>
      </c>
      <c r="B97" s="2" t="s">
        <v>371</v>
      </c>
      <c r="C97" s="2" t="s">
        <v>372</v>
      </c>
      <c r="D97" s="2" t="s">
        <v>355</v>
      </c>
      <c r="E97" s="2" t="s">
        <v>372</v>
      </c>
      <c r="F97" s="2" t="s">
        <v>372</v>
      </c>
      <c r="G97" s="5" t="str" cm="1">
        <f t="array" ref="G97">IFERROR(INDEX(City_Lookup!$B$2:$B$297,MATCH(TRUE,ISNUMBER(SEARCH(City_Lookup!$A$2:$A$297,$F97&amp;" "&amp;$E97)),0)),"Not Available")</f>
        <v>Lalitpur</v>
      </c>
      <c r="H97" s="5" t="str">
        <f>IFERROR(INDEX(City_Lookup!$E$2:$E$66,MATCH($G97,City_Lookup!$D$2:$D$66,0)),"Not Available")</f>
        <v>Bagmati</v>
      </c>
      <c r="I97" s="2" t="s">
        <v>28</v>
      </c>
      <c r="J97" s="2" t="s">
        <v>39</v>
      </c>
      <c r="K97" s="2"/>
      <c r="L97" s="2" t="s">
        <v>356</v>
      </c>
      <c r="M97" s="2" t="s">
        <v>356</v>
      </c>
      <c r="N97" s="2" t="s">
        <v>357</v>
      </c>
      <c r="O97" s="2">
        <v>1</v>
      </c>
      <c r="P97" s="2" t="s">
        <v>373</v>
      </c>
      <c r="Q97" s="2" t="s">
        <v>374</v>
      </c>
      <c r="R97" s="2" t="s">
        <v>33</v>
      </c>
      <c r="S97" s="2" t="s">
        <v>27</v>
      </c>
      <c r="T97" s="2" t="s">
        <v>34</v>
      </c>
      <c r="U97" s="2" t="s">
        <v>35</v>
      </c>
      <c r="V97" s="2" t="s">
        <v>36</v>
      </c>
      <c r="W97" s="2" t="s">
        <v>37</v>
      </c>
      <c r="X97" s="4" t="s">
        <v>373</v>
      </c>
      <c r="Y97" s="4" t="s">
        <v>2501</v>
      </c>
      <c r="Z97" t="str">
        <f t="shared" si="6"/>
        <v>977015420037</v>
      </c>
      <c r="AA97" t="str">
        <f t="shared" si="7"/>
        <v>015420037</v>
      </c>
      <c r="AB97" t="str">
        <f t="shared" si="8"/>
        <v>15420037</v>
      </c>
      <c r="AC97" t="str">
        <f t="shared" si="9"/>
        <v>+97715420037</v>
      </c>
      <c r="AD97" t="str">
        <f t="shared" si="10"/>
        <v>Landline (multiple lines)</v>
      </c>
      <c r="AE97" t="str">
        <f t="shared" si="11"/>
        <v>Valid</v>
      </c>
    </row>
    <row r="98" spans="1:31" x14ac:dyDescent="0.3">
      <c r="A98" s="2" t="s">
        <v>375</v>
      </c>
      <c r="B98" s="2" t="s">
        <v>376</v>
      </c>
      <c r="C98" s="2" t="s">
        <v>377</v>
      </c>
      <c r="D98" s="2" t="s">
        <v>355</v>
      </c>
      <c r="E98" s="2" t="s">
        <v>377</v>
      </c>
      <c r="F98" s="2" t="s">
        <v>377</v>
      </c>
      <c r="G98" s="5" t="str" cm="1">
        <f t="array" ref="G98">IFERROR(INDEX(City_Lookup!$B$2:$B$297,MATCH(TRUE,ISNUMBER(SEARCH(City_Lookup!$A$2:$A$297,$F98&amp;" "&amp;$E98)),0)),"Not Available")</f>
        <v>Kathmandu</v>
      </c>
      <c r="H98" s="5" t="str">
        <f>IFERROR(INDEX(City_Lookup!$E$2:$E$66,MATCH($G98,City_Lookup!$D$2:$D$66,0)),"Not Available")</f>
        <v>Bagmati</v>
      </c>
      <c r="I98" s="2" t="s">
        <v>28</v>
      </c>
      <c r="J98" s="2" t="s">
        <v>39</v>
      </c>
      <c r="K98" s="2"/>
      <c r="L98" s="2" t="s">
        <v>356</v>
      </c>
      <c r="M98" s="2" t="s">
        <v>356</v>
      </c>
      <c r="N98" s="2" t="s">
        <v>357</v>
      </c>
      <c r="O98" s="2">
        <v>1</v>
      </c>
      <c r="P98" s="2" t="s">
        <v>378</v>
      </c>
      <c r="Q98" s="2" t="s">
        <v>379</v>
      </c>
      <c r="R98" s="2" t="s">
        <v>33</v>
      </c>
      <c r="S98" s="2" t="s">
        <v>27</v>
      </c>
      <c r="T98" s="2" t="s">
        <v>34</v>
      </c>
      <c r="U98" s="2" t="s">
        <v>35</v>
      </c>
      <c r="V98" s="2" t="s">
        <v>36</v>
      </c>
      <c r="W98" s="2" t="s">
        <v>37</v>
      </c>
      <c r="X98" s="4" t="s">
        <v>378</v>
      </c>
      <c r="Y98" s="4" t="s">
        <v>2501</v>
      </c>
      <c r="Z98" t="str">
        <f t="shared" si="6"/>
        <v>977014355430</v>
      </c>
      <c r="AA98" t="str">
        <f t="shared" si="7"/>
        <v>014355430</v>
      </c>
      <c r="AB98" t="str">
        <f t="shared" si="8"/>
        <v>14355430</v>
      </c>
      <c r="AC98" t="str">
        <f t="shared" si="9"/>
        <v>+97714355430</v>
      </c>
      <c r="AD98" t="str">
        <f t="shared" si="10"/>
        <v>Landline (multiple lines)</v>
      </c>
      <c r="AE98" t="str">
        <f t="shared" si="11"/>
        <v>Valid</v>
      </c>
    </row>
    <row r="99" spans="1:31" x14ac:dyDescent="0.3">
      <c r="A99" s="2" t="s">
        <v>380</v>
      </c>
      <c r="B99" s="2" t="s">
        <v>381</v>
      </c>
      <c r="C99" s="2" t="s">
        <v>382</v>
      </c>
      <c r="D99" s="2" t="s">
        <v>355</v>
      </c>
      <c r="E99" s="2" t="s">
        <v>382</v>
      </c>
      <c r="F99" s="2" t="s">
        <v>382</v>
      </c>
      <c r="G99" s="5" t="str" cm="1">
        <f t="array" ref="G99">IFERROR(INDEX(City_Lookup!$B$2:$B$297,MATCH(TRUE,ISNUMBER(SEARCH(City_Lookup!$A$2:$A$297,$F99&amp;" "&amp;$E99)),0)),"Not Available")</f>
        <v>Bhaktapur</v>
      </c>
      <c r="H99" s="5" t="str">
        <f>IFERROR(INDEX(City_Lookup!$E$2:$E$66,MATCH($G99,City_Lookup!$D$2:$D$66,0)),"Not Available")</f>
        <v>Bagmati</v>
      </c>
      <c r="I99" s="2" t="s">
        <v>28</v>
      </c>
      <c r="J99" s="2" t="s">
        <v>39</v>
      </c>
      <c r="K99" s="2"/>
      <c r="L99" s="2" t="s">
        <v>356</v>
      </c>
      <c r="M99" s="2" t="s">
        <v>356</v>
      </c>
      <c r="N99" s="2" t="s">
        <v>357</v>
      </c>
      <c r="O99" s="2">
        <v>1</v>
      </c>
      <c r="P99" s="2" t="s">
        <v>384</v>
      </c>
      <c r="Q99" s="2" t="s">
        <v>385</v>
      </c>
      <c r="R99" s="2" t="s">
        <v>33</v>
      </c>
      <c r="S99" s="2" t="s">
        <v>27</v>
      </c>
      <c r="T99" s="2" t="s">
        <v>34</v>
      </c>
      <c r="U99" s="2" t="s">
        <v>35</v>
      </c>
      <c r="V99" s="2" t="s">
        <v>36</v>
      </c>
      <c r="W99" s="2" t="s">
        <v>37</v>
      </c>
      <c r="X99" s="4" t="s">
        <v>384</v>
      </c>
      <c r="Y99" s="4" t="s">
        <v>2501</v>
      </c>
      <c r="Z99" t="str">
        <f t="shared" si="6"/>
        <v>977015970226</v>
      </c>
      <c r="AA99" t="str">
        <f t="shared" si="7"/>
        <v>015970226</v>
      </c>
      <c r="AB99" t="str">
        <f t="shared" si="8"/>
        <v>15970226</v>
      </c>
      <c r="AC99" t="str">
        <f t="shared" si="9"/>
        <v>+97715970226</v>
      </c>
      <c r="AD99" t="str">
        <f t="shared" si="10"/>
        <v>Landline (multiple lines)</v>
      </c>
      <c r="AE99" t="str">
        <f t="shared" si="11"/>
        <v>Valid</v>
      </c>
    </row>
    <row r="100" spans="1:31" x14ac:dyDescent="0.3">
      <c r="A100" s="2" t="s">
        <v>386</v>
      </c>
      <c r="B100" s="2" t="s">
        <v>387</v>
      </c>
      <c r="C100" s="2" t="s">
        <v>388</v>
      </c>
      <c r="D100" s="2" t="s">
        <v>355</v>
      </c>
      <c r="E100" s="2" t="s">
        <v>388</v>
      </c>
      <c r="F100" s="2" t="s">
        <v>388</v>
      </c>
      <c r="G100" s="5" t="str" cm="1">
        <f t="array" ref="G100">IFERROR(INDEX(City_Lookup!$B$2:$B$297,MATCH(TRUE,ISNUMBER(SEARCH(City_Lookup!$A$2:$A$297,$F100&amp;" "&amp;$E100)),0)),"Not Available")</f>
        <v>Lalitpur</v>
      </c>
      <c r="H100" s="5" t="str">
        <f>IFERROR(INDEX(City_Lookup!$E$2:$E$66,MATCH($G100,City_Lookup!$D$2:$D$66,0)),"Not Available")</f>
        <v>Bagmati</v>
      </c>
      <c r="I100" s="2" t="s">
        <v>28</v>
      </c>
      <c r="J100" s="2" t="s">
        <v>39</v>
      </c>
      <c r="K100" s="2"/>
      <c r="L100" s="2" t="s">
        <v>356</v>
      </c>
      <c r="M100" s="2" t="s">
        <v>356</v>
      </c>
      <c r="N100" s="2" t="s">
        <v>357</v>
      </c>
      <c r="O100" s="2">
        <v>1</v>
      </c>
      <c r="P100" s="2" t="s">
        <v>391</v>
      </c>
      <c r="Q100" s="2" t="s">
        <v>392</v>
      </c>
      <c r="R100" s="2" t="s">
        <v>33</v>
      </c>
      <c r="S100" s="2" t="s">
        <v>27</v>
      </c>
      <c r="T100" s="2" t="s">
        <v>34</v>
      </c>
      <c r="U100" s="2" t="s">
        <v>35</v>
      </c>
      <c r="V100" s="2" t="s">
        <v>36</v>
      </c>
      <c r="W100" s="2" t="s">
        <v>37</v>
      </c>
      <c r="X100" s="4" t="s">
        <v>391</v>
      </c>
      <c r="Y100" s="4" t="s">
        <v>2501</v>
      </c>
      <c r="Z100" t="str">
        <f t="shared" si="6"/>
        <v>977015529924</v>
      </c>
      <c r="AA100" t="str">
        <f t="shared" si="7"/>
        <v>015529924</v>
      </c>
      <c r="AB100" t="str">
        <f t="shared" si="8"/>
        <v>15529924</v>
      </c>
      <c r="AC100" t="str">
        <f t="shared" si="9"/>
        <v>+97715529924</v>
      </c>
      <c r="AD100" t="str">
        <f t="shared" si="10"/>
        <v>Landline</v>
      </c>
      <c r="AE100" t="str">
        <f t="shared" si="11"/>
        <v>Valid</v>
      </c>
    </row>
    <row r="101" spans="1:31" x14ac:dyDescent="0.3">
      <c r="A101" s="2" t="s">
        <v>393</v>
      </c>
      <c r="B101" s="2" t="s">
        <v>394</v>
      </c>
      <c r="C101" s="2" t="s">
        <v>395</v>
      </c>
      <c r="D101" s="2" t="s">
        <v>355</v>
      </c>
      <c r="E101" s="2" t="s">
        <v>395</v>
      </c>
      <c r="F101" s="2" t="s">
        <v>395</v>
      </c>
      <c r="G101" s="5" t="str" cm="1">
        <f t="array" ref="G101">IFERROR(INDEX(City_Lookup!$B$2:$B$297,MATCH(TRUE,ISNUMBER(SEARCH(City_Lookup!$A$2:$A$297,$F101&amp;" "&amp;$E101)),0)),"Not Available")</f>
        <v>Kathmandu</v>
      </c>
      <c r="H101" s="5" t="str">
        <f>IFERROR(INDEX(City_Lookup!$E$2:$E$66,MATCH($G101,City_Lookup!$D$2:$D$66,0)),"Not Available")</f>
        <v>Bagmati</v>
      </c>
      <c r="I101" s="2" t="s">
        <v>28</v>
      </c>
      <c r="J101" s="2" t="s">
        <v>39</v>
      </c>
      <c r="K101" s="2"/>
      <c r="L101" s="2" t="s">
        <v>356</v>
      </c>
      <c r="M101" s="2" t="s">
        <v>356</v>
      </c>
      <c r="N101" s="2" t="s">
        <v>357</v>
      </c>
      <c r="O101" s="2">
        <v>1</v>
      </c>
      <c r="P101" s="2" t="s">
        <v>396</v>
      </c>
      <c r="Q101" s="2" t="s">
        <v>397</v>
      </c>
      <c r="R101" s="2" t="s">
        <v>33</v>
      </c>
      <c r="S101" s="2" t="s">
        <v>27</v>
      </c>
      <c r="T101" s="2" t="s">
        <v>34</v>
      </c>
      <c r="U101" s="2" t="s">
        <v>35</v>
      </c>
      <c r="V101" s="2" t="s">
        <v>36</v>
      </c>
      <c r="W101" s="2" t="s">
        <v>37</v>
      </c>
      <c r="X101" s="4" t="s">
        <v>396</v>
      </c>
      <c r="Y101" s="4" t="s">
        <v>2501</v>
      </c>
      <c r="Z101" t="str">
        <f t="shared" si="6"/>
        <v>977014474511</v>
      </c>
      <c r="AA101" t="str">
        <f t="shared" si="7"/>
        <v>014474511</v>
      </c>
      <c r="AB101" t="str">
        <f t="shared" si="8"/>
        <v>14474511</v>
      </c>
      <c r="AC101" t="str">
        <f t="shared" si="9"/>
        <v>+97714474511</v>
      </c>
      <c r="AD101" t="str">
        <f t="shared" si="10"/>
        <v>Landline (multiple lines)</v>
      </c>
      <c r="AE101" t="str">
        <f t="shared" si="11"/>
        <v>Valid</v>
      </c>
    </row>
    <row r="102" spans="1:31" x14ac:dyDescent="0.3">
      <c r="A102" s="2" t="s">
        <v>398</v>
      </c>
      <c r="B102" s="2" t="s">
        <v>399</v>
      </c>
      <c r="C102" s="2" t="s">
        <v>400</v>
      </c>
      <c r="D102" s="2" t="s">
        <v>355</v>
      </c>
      <c r="E102" s="2" t="s">
        <v>400</v>
      </c>
      <c r="F102" s="2" t="s">
        <v>400</v>
      </c>
      <c r="G102" s="5" t="str" cm="1">
        <f t="array" ref="G102">IFERROR(INDEX(City_Lookup!$B$2:$B$297,MATCH(TRUE,ISNUMBER(SEARCH(City_Lookup!$A$2:$A$297,$F102&amp;" "&amp;$E102)),0)),"Not Available")</f>
        <v>Kathmandu</v>
      </c>
      <c r="H102" s="5" t="str">
        <f>IFERROR(INDEX(City_Lookup!$E$2:$E$66,MATCH($G102,City_Lookup!$D$2:$D$66,0)),"Not Available")</f>
        <v>Bagmati</v>
      </c>
      <c r="I102" s="2" t="s">
        <v>28</v>
      </c>
      <c r="J102" s="2" t="s">
        <v>39</v>
      </c>
      <c r="K102" s="2"/>
      <c r="L102" s="2" t="s">
        <v>356</v>
      </c>
      <c r="M102" s="2" t="s">
        <v>356</v>
      </c>
      <c r="N102" s="2" t="s">
        <v>357</v>
      </c>
      <c r="O102" s="2">
        <v>1</v>
      </c>
      <c r="P102" s="2" t="s">
        <v>401</v>
      </c>
      <c r="Q102" s="2" t="s">
        <v>402</v>
      </c>
      <c r="R102" s="2" t="s">
        <v>33</v>
      </c>
      <c r="S102" s="2" t="s">
        <v>27</v>
      </c>
      <c r="T102" s="2" t="s">
        <v>34</v>
      </c>
      <c r="U102" s="2" t="s">
        <v>35</v>
      </c>
      <c r="V102" s="2" t="s">
        <v>36</v>
      </c>
      <c r="W102" s="2" t="s">
        <v>37</v>
      </c>
      <c r="X102" s="4" t="s">
        <v>401</v>
      </c>
      <c r="Y102" s="4" t="s">
        <v>2501</v>
      </c>
      <c r="Z102" t="str">
        <f t="shared" si="6"/>
        <v>977015911556</v>
      </c>
      <c r="AA102" t="str">
        <f t="shared" si="7"/>
        <v>015911556</v>
      </c>
      <c r="AB102" t="str">
        <f t="shared" si="8"/>
        <v>15911556</v>
      </c>
      <c r="AC102" t="str">
        <f t="shared" si="9"/>
        <v>+97715911556</v>
      </c>
      <c r="AD102" t="str">
        <f t="shared" si="10"/>
        <v>Landline (multiple lines)</v>
      </c>
      <c r="AE102" t="str">
        <f t="shared" si="11"/>
        <v>Valid</v>
      </c>
    </row>
    <row r="103" spans="1:31" x14ac:dyDescent="0.3">
      <c r="A103" s="2" t="s">
        <v>403</v>
      </c>
      <c r="B103" s="2" t="s">
        <v>404</v>
      </c>
      <c r="C103" s="2" t="s">
        <v>405</v>
      </c>
      <c r="D103" s="2" t="s">
        <v>355</v>
      </c>
      <c r="E103" s="2" t="s">
        <v>405</v>
      </c>
      <c r="F103" s="2" t="s">
        <v>405</v>
      </c>
      <c r="G103" s="5" t="str" cm="1">
        <f t="array" ref="G103">IFERROR(INDEX(City_Lookup!$B$2:$B$297,MATCH(TRUE,ISNUMBER(SEARCH(City_Lookup!$A$2:$A$297,$F103&amp;" "&amp;$E103)),0)),"Not Available")</f>
        <v>Kathmandu</v>
      </c>
      <c r="H103" s="5" t="str">
        <f>IFERROR(INDEX(City_Lookup!$E$2:$E$66,MATCH($G103,City_Lookup!$D$2:$D$66,0)),"Not Available")</f>
        <v>Bagmati</v>
      </c>
      <c r="I103" s="2" t="s">
        <v>28</v>
      </c>
      <c r="J103" s="2" t="s">
        <v>39</v>
      </c>
      <c r="K103" s="2"/>
      <c r="L103" s="2" t="s">
        <v>356</v>
      </c>
      <c r="M103" s="2" t="s">
        <v>356</v>
      </c>
      <c r="N103" s="2" t="s">
        <v>357</v>
      </c>
      <c r="O103" s="2">
        <v>1</v>
      </c>
      <c r="P103" s="2" t="s">
        <v>407</v>
      </c>
      <c r="Q103" s="2" t="s">
        <v>408</v>
      </c>
      <c r="R103" s="2" t="s">
        <v>33</v>
      </c>
      <c r="S103" s="2" t="s">
        <v>27</v>
      </c>
      <c r="T103" s="2" t="s">
        <v>34</v>
      </c>
      <c r="U103" s="2" t="s">
        <v>35</v>
      </c>
      <c r="V103" s="2" t="s">
        <v>36</v>
      </c>
      <c r="W103" s="2" t="s">
        <v>37</v>
      </c>
      <c r="X103" s="4" t="s">
        <v>407</v>
      </c>
      <c r="Y103" s="4" t="s">
        <v>2501</v>
      </c>
      <c r="Z103" t="str">
        <f t="shared" si="6"/>
        <v>977014544684</v>
      </c>
      <c r="AA103" t="str">
        <f t="shared" si="7"/>
        <v>014544684</v>
      </c>
      <c r="AB103" t="str">
        <f t="shared" si="8"/>
        <v>14544684</v>
      </c>
      <c r="AC103" t="str">
        <f t="shared" si="9"/>
        <v>+97714544684</v>
      </c>
      <c r="AD103" t="str">
        <f t="shared" si="10"/>
        <v>Landline</v>
      </c>
      <c r="AE103" t="str">
        <f t="shared" si="11"/>
        <v>Valid</v>
      </c>
    </row>
    <row r="104" spans="1:31" x14ac:dyDescent="0.3">
      <c r="A104" s="2" t="s">
        <v>409</v>
      </c>
      <c r="B104" s="2" t="s">
        <v>410</v>
      </c>
      <c r="C104" s="2" t="s">
        <v>411</v>
      </c>
      <c r="D104" s="2" t="s">
        <v>355</v>
      </c>
      <c r="E104" s="2" t="s">
        <v>411</v>
      </c>
      <c r="F104" s="2" t="s">
        <v>411</v>
      </c>
      <c r="G104" s="5" t="str" cm="1">
        <f t="array" ref="G104">IFERROR(INDEX(City_Lookup!$B$2:$B$297,MATCH(TRUE,ISNUMBER(SEARCH(City_Lookup!$A$2:$A$297,$F104&amp;" "&amp;$E104)),0)),"Not Available")</f>
        <v>Kathmandu</v>
      </c>
      <c r="H104" s="5" t="str">
        <f>IFERROR(INDEX(City_Lookup!$E$2:$E$66,MATCH($G104,City_Lookup!$D$2:$D$66,0)),"Not Available")</f>
        <v>Bagmati</v>
      </c>
      <c r="I104" s="2" t="s">
        <v>28</v>
      </c>
      <c r="J104" s="2" t="s">
        <v>39</v>
      </c>
      <c r="K104" s="2"/>
      <c r="L104" s="2" t="s">
        <v>356</v>
      </c>
      <c r="M104" s="2" t="s">
        <v>356</v>
      </c>
      <c r="N104" s="2" t="s">
        <v>357</v>
      </c>
      <c r="O104" s="2">
        <v>1</v>
      </c>
      <c r="P104" s="2" t="s">
        <v>358</v>
      </c>
      <c r="Q104" s="2" t="s">
        <v>412</v>
      </c>
      <c r="R104" s="2" t="s">
        <v>33</v>
      </c>
      <c r="S104" s="2" t="s">
        <v>27</v>
      </c>
      <c r="T104" s="2" t="s">
        <v>34</v>
      </c>
      <c r="U104" s="2" t="s">
        <v>35</v>
      </c>
      <c r="V104" s="2" t="s">
        <v>36</v>
      </c>
      <c r="W104" s="2" t="s">
        <v>37</v>
      </c>
      <c r="X104" s="4" t="s">
        <v>358</v>
      </c>
      <c r="Y104" s="4" t="s">
        <v>2501</v>
      </c>
      <c r="Z104" t="str">
        <f t="shared" si="6"/>
        <v>977015911553</v>
      </c>
      <c r="AA104" t="str">
        <f t="shared" si="7"/>
        <v>015911553</v>
      </c>
      <c r="AB104" t="str">
        <f t="shared" si="8"/>
        <v>15911553</v>
      </c>
      <c r="AC104" t="str">
        <f t="shared" si="9"/>
        <v>+97715911553</v>
      </c>
      <c r="AD104" t="str">
        <f t="shared" si="10"/>
        <v>Landline (multiple lines)</v>
      </c>
      <c r="AE104" t="str">
        <f t="shared" si="11"/>
        <v>Valid</v>
      </c>
    </row>
    <row r="105" spans="1:31" x14ac:dyDescent="0.3">
      <c r="A105" s="2" t="s">
        <v>413</v>
      </c>
      <c r="B105" s="2" t="s">
        <v>414</v>
      </c>
      <c r="C105" s="2" t="s">
        <v>415</v>
      </c>
      <c r="D105" s="2" t="s">
        <v>355</v>
      </c>
      <c r="E105" s="2" t="s">
        <v>415</v>
      </c>
      <c r="F105" s="2" t="s">
        <v>415</v>
      </c>
      <c r="G105" s="5" t="str" cm="1">
        <f t="array" ref="G105">IFERROR(INDEX(City_Lookup!$B$2:$B$297,MATCH(TRUE,ISNUMBER(SEARCH(City_Lookup!$A$2:$A$297,$F105&amp;" "&amp;$E105)),0)),"Not Available")</f>
        <v>Kailali</v>
      </c>
      <c r="H105" s="5" t="str">
        <f>IFERROR(INDEX(City_Lookup!$E$2:$E$66,MATCH($G105,City_Lookup!$D$2:$D$66,0)),"Not Available")</f>
        <v>Sudurpashchim</v>
      </c>
      <c r="I105" s="2" t="s">
        <v>28</v>
      </c>
      <c r="J105" s="2" t="s">
        <v>39</v>
      </c>
      <c r="K105" s="2"/>
      <c r="L105" s="2" t="s">
        <v>356</v>
      </c>
      <c r="M105" s="2" t="s">
        <v>356</v>
      </c>
      <c r="N105" s="2" t="s">
        <v>357</v>
      </c>
      <c r="O105" s="2">
        <v>1</v>
      </c>
      <c r="P105" s="2" t="s">
        <v>416</v>
      </c>
      <c r="Q105" s="2" t="s">
        <v>417</v>
      </c>
      <c r="R105" s="2" t="s">
        <v>33</v>
      </c>
      <c r="S105" s="2" t="s">
        <v>27</v>
      </c>
      <c r="T105" s="2" t="s">
        <v>34</v>
      </c>
      <c r="U105" s="2" t="s">
        <v>35</v>
      </c>
      <c r="V105" s="2" t="s">
        <v>36</v>
      </c>
      <c r="W105" s="2" t="s">
        <v>37</v>
      </c>
      <c r="X105" s="4" t="s">
        <v>416</v>
      </c>
      <c r="Y105" s="4" t="s">
        <v>2501</v>
      </c>
      <c r="Z105" t="str">
        <f t="shared" si="6"/>
        <v>977091521618</v>
      </c>
      <c r="AA105" t="str">
        <f t="shared" si="7"/>
        <v>091521618</v>
      </c>
      <c r="AB105" t="str">
        <f t="shared" si="8"/>
        <v>91521618</v>
      </c>
      <c r="AC105" t="str">
        <f t="shared" si="9"/>
        <v>+97791521618</v>
      </c>
      <c r="AD105" t="str">
        <f t="shared" si="10"/>
        <v>Landline</v>
      </c>
      <c r="AE105" t="str">
        <f t="shared" si="11"/>
        <v>Valid</v>
      </c>
    </row>
    <row r="106" spans="1:31" x14ac:dyDescent="0.3">
      <c r="A106" s="2" t="s">
        <v>418</v>
      </c>
      <c r="B106" s="2" t="s">
        <v>419</v>
      </c>
      <c r="C106" s="2" t="s">
        <v>420</v>
      </c>
      <c r="D106" s="2" t="s">
        <v>355</v>
      </c>
      <c r="E106" s="2" t="s">
        <v>420</v>
      </c>
      <c r="F106" s="2" t="s">
        <v>420</v>
      </c>
      <c r="G106" s="5" t="str" cm="1">
        <f t="array" ref="G106">IFERROR(INDEX(City_Lookup!$B$2:$B$297,MATCH(TRUE,ISNUMBER(SEARCH(City_Lookup!$A$2:$A$297,$F106&amp;" "&amp;$E106)),0)),"Not Available")</f>
        <v>Dang</v>
      </c>
      <c r="H106" s="5" t="str">
        <f>IFERROR(INDEX(City_Lookup!$E$2:$E$66,MATCH($G106,City_Lookup!$D$2:$D$66,0)),"Not Available")</f>
        <v>Lumbini</v>
      </c>
      <c r="I106" s="2" t="s">
        <v>28</v>
      </c>
      <c r="J106" s="2" t="s">
        <v>39</v>
      </c>
      <c r="K106" s="2"/>
      <c r="L106" s="2" t="s">
        <v>356</v>
      </c>
      <c r="M106" s="2" t="s">
        <v>356</v>
      </c>
      <c r="N106" s="2" t="s">
        <v>357</v>
      </c>
      <c r="O106" s="2">
        <v>1</v>
      </c>
      <c r="P106" s="2" t="s">
        <v>421</v>
      </c>
      <c r="Q106" s="2" t="s">
        <v>422</v>
      </c>
      <c r="R106" s="2" t="s">
        <v>33</v>
      </c>
      <c r="S106" s="2" t="s">
        <v>27</v>
      </c>
      <c r="T106" s="2" t="s">
        <v>34</v>
      </c>
      <c r="U106" s="2" t="s">
        <v>35</v>
      </c>
      <c r="V106" s="2" t="s">
        <v>36</v>
      </c>
      <c r="W106" s="2" t="s">
        <v>37</v>
      </c>
      <c r="X106" s="4" t="s">
        <v>421</v>
      </c>
      <c r="Y106" s="4" t="s">
        <v>2501</v>
      </c>
      <c r="Z106" t="str">
        <f t="shared" si="6"/>
        <v>977071570305</v>
      </c>
      <c r="AA106" t="str">
        <f t="shared" si="7"/>
        <v>071570305</v>
      </c>
      <c r="AB106" t="str">
        <f t="shared" si="8"/>
        <v>71570305</v>
      </c>
      <c r="AC106" t="str">
        <f t="shared" si="9"/>
        <v>+97771570305</v>
      </c>
      <c r="AD106" t="str">
        <f t="shared" si="10"/>
        <v>Landline</v>
      </c>
      <c r="AE106" t="str">
        <f t="shared" si="11"/>
        <v>Valid</v>
      </c>
    </row>
    <row r="107" spans="1:31" x14ac:dyDescent="0.3">
      <c r="A107" s="2" t="s">
        <v>423</v>
      </c>
      <c r="B107" s="2" t="s">
        <v>424</v>
      </c>
      <c r="C107" s="2" t="s">
        <v>425</v>
      </c>
      <c r="D107" s="2" t="s">
        <v>355</v>
      </c>
      <c r="E107" s="2" t="s">
        <v>425</v>
      </c>
      <c r="F107" s="2" t="s">
        <v>425</v>
      </c>
      <c r="G107" s="5" t="str" cm="1">
        <f t="array" ref="G107">IFERROR(INDEX(City_Lookup!$B$2:$B$297,MATCH(TRUE,ISNUMBER(SEARCH(City_Lookup!$A$2:$A$297,$F107&amp;" "&amp;$E107)),0)),"Not Available")</f>
        <v>Chitwan</v>
      </c>
      <c r="H107" s="5" t="str">
        <f>IFERROR(INDEX(City_Lookup!$E$2:$E$66,MATCH($G107,City_Lookup!$D$2:$D$66,0)),"Not Available")</f>
        <v>Bagmati</v>
      </c>
      <c r="I107" s="2" t="s">
        <v>28</v>
      </c>
      <c r="J107" s="2" t="s">
        <v>39</v>
      </c>
      <c r="K107" s="2"/>
      <c r="L107" s="2" t="s">
        <v>356</v>
      </c>
      <c r="M107" s="2" t="s">
        <v>356</v>
      </c>
      <c r="N107" s="2" t="s">
        <v>357</v>
      </c>
      <c r="O107" s="2">
        <v>1</v>
      </c>
      <c r="P107" s="2" t="s">
        <v>426</v>
      </c>
      <c r="Q107" s="2" t="s">
        <v>427</v>
      </c>
      <c r="R107" s="2" t="s">
        <v>33</v>
      </c>
      <c r="S107" s="2" t="s">
        <v>27</v>
      </c>
      <c r="T107" s="2" t="s">
        <v>34</v>
      </c>
      <c r="U107" s="2" t="s">
        <v>35</v>
      </c>
      <c r="V107" s="2" t="s">
        <v>36</v>
      </c>
      <c r="W107" s="2" t="s">
        <v>37</v>
      </c>
      <c r="X107" s="4" t="s">
        <v>426</v>
      </c>
      <c r="Y107" s="4" t="s">
        <v>2501</v>
      </c>
      <c r="Z107" t="str">
        <f t="shared" si="6"/>
        <v>977056526276</v>
      </c>
      <c r="AA107" t="str">
        <f t="shared" si="7"/>
        <v>056526276</v>
      </c>
      <c r="AB107" t="str">
        <f t="shared" si="8"/>
        <v>56526276</v>
      </c>
      <c r="AC107" t="str">
        <f t="shared" si="9"/>
        <v>+97756526276</v>
      </c>
      <c r="AD107" t="str">
        <f t="shared" si="10"/>
        <v>Landline</v>
      </c>
      <c r="AE107" t="str">
        <f t="shared" si="11"/>
        <v>Valid</v>
      </c>
    </row>
    <row r="108" spans="1:31" x14ac:dyDescent="0.3">
      <c r="A108" s="2" t="s">
        <v>428</v>
      </c>
      <c r="B108" s="2" t="s">
        <v>429</v>
      </c>
      <c r="C108" s="2" t="s">
        <v>430</v>
      </c>
      <c r="D108" s="2" t="s">
        <v>355</v>
      </c>
      <c r="E108" s="2" t="s">
        <v>430</v>
      </c>
      <c r="F108" s="2" t="s">
        <v>430</v>
      </c>
      <c r="G108" s="5" t="str" cm="1">
        <f t="array" ref="G108">IFERROR(INDEX(City_Lookup!$B$2:$B$297,MATCH(TRUE,ISNUMBER(SEARCH(City_Lookup!$A$2:$A$297,$F108&amp;" "&amp;$E108)),0)),"Not Available")</f>
        <v>Chitwan</v>
      </c>
      <c r="H108" s="5" t="str">
        <f>IFERROR(INDEX(City_Lookup!$E$2:$E$66,MATCH($G108,City_Lookup!$D$2:$D$66,0)),"Not Available")</f>
        <v>Bagmati</v>
      </c>
      <c r="I108" s="2" t="s">
        <v>28</v>
      </c>
      <c r="J108" s="2" t="s">
        <v>39</v>
      </c>
      <c r="K108" s="2"/>
      <c r="L108" s="2" t="s">
        <v>356</v>
      </c>
      <c r="M108" s="2" t="s">
        <v>356</v>
      </c>
      <c r="N108" s="2" t="s">
        <v>357</v>
      </c>
      <c r="O108" s="2">
        <v>1</v>
      </c>
      <c r="P108" s="2" t="s">
        <v>431</v>
      </c>
      <c r="Q108" s="2" t="s">
        <v>432</v>
      </c>
      <c r="R108" s="2" t="s">
        <v>33</v>
      </c>
      <c r="S108" s="2" t="s">
        <v>27</v>
      </c>
      <c r="T108" s="2" t="s">
        <v>34</v>
      </c>
      <c r="U108" s="2" t="s">
        <v>35</v>
      </c>
      <c r="V108" s="2" t="s">
        <v>36</v>
      </c>
      <c r="W108" s="2" t="s">
        <v>37</v>
      </c>
      <c r="X108" s="4" t="s">
        <v>431</v>
      </c>
      <c r="Y108" s="4" t="s">
        <v>2501</v>
      </c>
      <c r="Z108" t="str">
        <f t="shared" si="6"/>
        <v>977056525865</v>
      </c>
      <c r="AA108" t="str">
        <f t="shared" si="7"/>
        <v>056525865</v>
      </c>
      <c r="AB108" t="str">
        <f t="shared" si="8"/>
        <v>56525865</v>
      </c>
      <c r="AC108" t="str">
        <f t="shared" si="9"/>
        <v>+97756525865</v>
      </c>
      <c r="AD108" t="str">
        <f t="shared" si="10"/>
        <v>Landline</v>
      </c>
      <c r="AE108" t="str">
        <f t="shared" si="11"/>
        <v>Valid</v>
      </c>
    </row>
    <row r="109" spans="1:31" x14ac:dyDescent="0.3">
      <c r="A109" s="2" t="s">
        <v>433</v>
      </c>
      <c r="B109" s="2" t="s">
        <v>434</v>
      </c>
      <c r="C109" s="2" t="s">
        <v>435</v>
      </c>
      <c r="D109" s="2" t="s">
        <v>355</v>
      </c>
      <c r="E109" s="2" t="s">
        <v>435</v>
      </c>
      <c r="F109" s="2" t="s">
        <v>435</v>
      </c>
      <c r="G109" s="5" t="str" cm="1">
        <f t="array" ref="G109">IFERROR(INDEX(City_Lookup!$B$2:$B$297,MATCH(TRUE,ISNUMBER(SEARCH(City_Lookup!$A$2:$A$297,$F109&amp;" "&amp;$E109)),0)),"Not Available")</f>
        <v>Chitwan</v>
      </c>
      <c r="H109" s="5" t="str">
        <f>IFERROR(INDEX(City_Lookup!$E$2:$E$66,MATCH($G109,City_Lookup!$D$2:$D$66,0)),"Not Available")</f>
        <v>Bagmati</v>
      </c>
      <c r="I109" s="2" t="s">
        <v>28</v>
      </c>
      <c r="J109" s="2" t="s">
        <v>39</v>
      </c>
      <c r="K109" s="2"/>
      <c r="L109" s="2" t="s">
        <v>356</v>
      </c>
      <c r="M109" s="2" t="s">
        <v>356</v>
      </c>
      <c r="N109" s="2" t="s">
        <v>357</v>
      </c>
      <c r="O109" s="2">
        <v>1</v>
      </c>
      <c r="P109" s="2" t="s">
        <v>436</v>
      </c>
      <c r="Q109" s="2" t="s">
        <v>437</v>
      </c>
      <c r="R109" s="2" t="s">
        <v>33</v>
      </c>
      <c r="S109" s="2" t="s">
        <v>27</v>
      </c>
      <c r="T109" s="2" t="s">
        <v>34</v>
      </c>
      <c r="U109" s="2" t="s">
        <v>35</v>
      </c>
      <c r="V109" s="2" t="s">
        <v>36</v>
      </c>
      <c r="W109" s="2" t="s">
        <v>37</v>
      </c>
      <c r="X109" s="4" t="s">
        <v>436</v>
      </c>
      <c r="Y109" s="4" t="s">
        <v>2501</v>
      </c>
      <c r="Z109" t="str">
        <f t="shared" si="6"/>
        <v>9779851331247</v>
      </c>
      <c r="AA109" t="str">
        <f t="shared" si="7"/>
        <v>9851331247</v>
      </c>
      <c r="AB109" t="str">
        <f t="shared" si="8"/>
        <v>9851331247</v>
      </c>
      <c r="AC109" t="str">
        <f t="shared" si="9"/>
        <v>+9779851331247</v>
      </c>
      <c r="AD109" t="str">
        <f t="shared" si="10"/>
        <v>Mobile</v>
      </c>
      <c r="AE109" t="str">
        <f t="shared" si="11"/>
        <v>Valid</v>
      </c>
    </row>
    <row r="110" spans="1:31" x14ac:dyDescent="0.3">
      <c r="A110" s="2" t="s">
        <v>438</v>
      </c>
      <c r="B110" s="2" t="s">
        <v>439</v>
      </c>
      <c r="C110" s="2" t="s">
        <v>440</v>
      </c>
      <c r="D110" s="2" t="s">
        <v>355</v>
      </c>
      <c r="E110" s="2" t="s">
        <v>440</v>
      </c>
      <c r="F110" s="2" t="s">
        <v>440</v>
      </c>
      <c r="G110" s="5" t="str" cm="1">
        <f t="array" ref="G110">IFERROR(INDEX(City_Lookup!$B$2:$B$297,MATCH(TRUE,ISNUMBER(SEARCH(City_Lookup!$A$2:$A$297,$F110&amp;" "&amp;$E110)),0)),"Not Available")</f>
        <v>Kailali</v>
      </c>
      <c r="H110" s="5" t="str">
        <f>IFERROR(INDEX(City_Lookup!$E$2:$E$66,MATCH($G110,City_Lookup!$D$2:$D$66,0)),"Not Available")</f>
        <v>Sudurpashchim</v>
      </c>
      <c r="I110" s="2" t="s">
        <v>28</v>
      </c>
      <c r="J110" s="2" t="s">
        <v>39</v>
      </c>
      <c r="K110" s="2"/>
      <c r="L110" s="2" t="s">
        <v>356</v>
      </c>
      <c r="M110" s="2" t="s">
        <v>356</v>
      </c>
      <c r="N110" s="2" t="s">
        <v>357</v>
      </c>
      <c r="O110" s="2">
        <v>1</v>
      </c>
      <c r="P110" s="2" t="s">
        <v>441</v>
      </c>
      <c r="Q110" s="2" t="s">
        <v>442</v>
      </c>
      <c r="R110" s="2" t="s">
        <v>33</v>
      </c>
      <c r="S110" s="2" t="s">
        <v>27</v>
      </c>
      <c r="T110" s="2" t="s">
        <v>34</v>
      </c>
      <c r="U110" s="2" t="s">
        <v>35</v>
      </c>
      <c r="V110" s="2" t="s">
        <v>36</v>
      </c>
      <c r="W110" s="2" t="s">
        <v>37</v>
      </c>
      <c r="X110" s="4" t="s">
        <v>441</v>
      </c>
      <c r="Y110" s="4" t="s">
        <v>2501</v>
      </c>
      <c r="Z110" t="str">
        <f t="shared" si="6"/>
        <v>977091414000</v>
      </c>
      <c r="AA110" t="str">
        <f t="shared" si="7"/>
        <v>091414000</v>
      </c>
      <c r="AB110" t="str">
        <f t="shared" si="8"/>
        <v>91414000</v>
      </c>
      <c r="AC110" t="str">
        <f t="shared" si="9"/>
        <v>+97791414000</v>
      </c>
      <c r="AD110" t="str">
        <f t="shared" si="10"/>
        <v>Landline</v>
      </c>
      <c r="AE110" t="str">
        <f t="shared" si="11"/>
        <v>Valid</v>
      </c>
    </row>
    <row r="111" spans="1:31" x14ac:dyDescent="0.3">
      <c r="A111" s="2" t="s">
        <v>443</v>
      </c>
      <c r="B111" s="2" t="s">
        <v>444</v>
      </c>
      <c r="C111" s="2" t="s">
        <v>445</v>
      </c>
      <c r="D111" s="2" t="s">
        <v>355</v>
      </c>
      <c r="E111" s="2" t="s">
        <v>445</v>
      </c>
      <c r="F111" s="2" t="s">
        <v>445</v>
      </c>
      <c r="G111" s="5" t="str" cm="1">
        <f t="array" ref="G111">IFERROR(INDEX(City_Lookup!$B$2:$B$297,MATCH(TRUE,ISNUMBER(SEARCH(City_Lookup!$A$2:$A$297,$F111&amp;" "&amp;$E111)),0)),"Not Available")</f>
        <v>Kailali</v>
      </c>
      <c r="H111" s="5" t="str">
        <f>IFERROR(INDEX(City_Lookup!$E$2:$E$66,MATCH($G111,City_Lookup!$D$2:$D$66,0)),"Not Available")</f>
        <v>Sudurpashchim</v>
      </c>
      <c r="I111" s="2" t="s">
        <v>28</v>
      </c>
      <c r="J111" s="2" t="s">
        <v>39</v>
      </c>
      <c r="K111" s="2"/>
      <c r="L111" s="2" t="s">
        <v>356</v>
      </c>
      <c r="M111" s="2" t="s">
        <v>356</v>
      </c>
      <c r="N111" s="2" t="s">
        <v>357</v>
      </c>
      <c r="O111" s="2">
        <v>1</v>
      </c>
      <c r="P111" s="2" t="s">
        <v>363</v>
      </c>
      <c r="Q111" s="2" t="s">
        <v>446</v>
      </c>
      <c r="R111" s="2" t="s">
        <v>33</v>
      </c>
      <c r="S111" s="2" t="s">
        <v>27</v>
      </c>
      <c r="T111" s="2" t="s">
        <v>34</v>
      </c>
      <c r="U111" s="2" t="s">
        <v>35</v>
      </c>
      <c r="V111" s="2" t="s">
        <v>36</v>
      </c>
      <c r="W111" s="2" t="s">
        <v>37</v>
      </c>
      <c r="X111" s="4" t="s">
        <v>363</v>
      </c>
      <c r="Y111" s="4" t="s">
        <v>2501</v>
      </c>
      <c r="Z111" t="str">
        <f t="shared" si="6"/>
        <v>977091523714</v>
      </c>
      <c r="AA111" t="str">
        <f t="shared" si="7"/>
        <v>091523714</v>
      </c>
      <c r="AB111" t="str">
        <f t="shared" si="8"/>
        <v>91523714</v>
      </c>
      <c r="AC111" t="str">
        <f t="shared" si="9"/>
        <v>+97791523714</v>
      </c>
      <c r="AD111" t="str">
        <f t="shared" si="10"/>
        <v>Landline (multiple lines)</v>
      </c>
      <c r="AE111" t="str">
        <f t="shared" si="11"/>
        <v>Valid</v>
      </c>
    </row>
    <row r="112" spans="1:31" x14ac:dyDescent="0.3">
      <c r="A112" s="2" t="s">
        <v>447</v>
      </c>
      <c r="B112" s="2" t="s">
        <v>448</v>
      </c>
      <c r="C112" s="2" t="s">
        <v>449</v>
      </c>
      <c r="D112" s="2" t="s">
        <v>355</v>
      </c>
      <c r="E112" s="2" t="s">
        <v>449</v>
      </c>
      <c r="F112" s="2" t="s">
        <v>449</v>
      </c>
      <c r="G112" s="5" t="str" cm="1">
        <f t="array" ref="G112">IFERROR(INDEX(City_Lookup!$B$2:$B$297,MATCH(TRUE,ISNUMBER(SEARCH(City_Lookup!$A$2:$A$297,$F112&amp;" "&amp;$E112)),0)),"Not Available")</f>
        <v>Banke</v>
      </c>
      <c r="H112" s="5" t="str">
        <f>IFERROR(INDEX(City_Lookup!$E$2:$E$66,MATCH($G112,City_Lookup!$D$2:$D$66,0)),"Not Available")</f>
        <v>Lumbini</v>
      </c>
      <c r="I112" s="2" t="s">
        <v>28</v>
      </c>
      <c r="J112" s="2" t="s">
        <v>39</v>
      </c>
      <c r="K112" s="2"/>
      <c r="L112" s="2" t="s">
        <v>356</v>
      </c>
      <c r="M112" s="2" t="s">
        <v>356</v>
      </c>
      <c r="N112" s="2" t="s">
        <v>357</v>
      </c>
      <c r="O112" s="2">
        <v>1</v>
      </c>
      <c r="P112" s="2" t="s">
        <v>450</v>
      </c>
      <c r="Q112" s="2" t="s">
        <v>451</v>
      </c>
      <c r="R112" s="2" t="s">
        <v>33</v>
      </c>
      <c r="S112" s="2" t="s">
        <v>27</v>
      </c>
      <c r="T112" s="2" t="s">
        <v>34</v>
      </c>
      <c r="U112" s="2" t="s">
        <v>35</v>
      </c>
      <c r="V112" s="2" t="s">
        <v>36</v>
      </c>
      <c r="W112" s="2" t="s">
        <v>37</v>
      </c>
      <c r="X112" s="4" t="s">
        <v>450</v>
      </c>
      <c r="Y112" s="4" t="s">
        <v>2501</v>
      </c>
      <c r="Z112" t="str">
        <f t="shared" si="6"/>
        <v>977081551200</v>
      </c>
      <c r="AA112" t="str">
        <f t="shared" si="7"/>
        <v>081551200</v>
      </c>
      <c r="AB112" t="str">
        <f t="shared" si="8"/>
        <v>81551200</v>
      </c>
      <c r="AC112" t="str">
        <f t="shared" si="9"/>
        <v>+97781551200</v>
      </c>
      <c r="AD112" t="str">
        <f t="shared" si="10"/>
        <v>Landline</v>
      </c>
      <c r="AE112" t="str">
        <f t="shared" si="11"/>
        <v>Valid</v>
      </c>
    </row>
    <row r="113" spans="1:31" x14ac:dyDescent="0.3">
      <c r="A113" s="2" t="s">
        <v>452</v>
      </c>
      <c r="B113" s="2" t="s">
        <v>453</v>
      </c>
      <c r="C113" s="2" t="s">
        <v>454</v>
      </c>
      <c r="D113" s="2" t="s">
        <v>355</v>
      </c>
      <c r="E113" s="2" t="s">
        <v>454</v>
      </c>
      <c r="F113" s="2" t="s">
        <v>454</v>
      </c>
      <c r="G113" s="5" t="str" cm="1">
        <f t="array" ref="G113">IFERROR(INDEX(City_Lookup!$B$2:$B$297,MATCH(TRUE,ISNUMBER(SEARCH(City_Lookup!$A$2:$A$297,$F113&amp;" "&amp;$E113)),0)),"Not Available")</f>
        <v>Banke</v>
      </c>
      <c r="H113" s="5" t="str">
        <f>IFERROR(INDEX(City_Lookup!$E$2:$E$66,MATCH($G113,City_Lookup!$D$2:$D$66,0)),"Not Available")</f>
        <v>Lumbini</v>
      </c>
      <c r="I113" s="2" t="s">
        <v>28</v>
      </c>
      <c r="J113" s="2" t="s">
        <v>39</v>
      </c>
      <c r="K113" s="2"/>
      <c r="L113" s="2" t="s">
        <v>356</v>
      </c>
      <c r="M113" s="2" t="s">
        <v>356</v>
      </c>
      <c r="N113" s="2" t="s">
        <v>357</v>
      </c>
      <c r="O113" s="2">
        <v>1</v>
      </c>
      <c r="P113" s="2" t="s">
        <v>455</v>
      </c>
      <c r="Q113" s="2" t="s">
        <v>456</v>
      </c>
      <c r="R113" s="2" t="s">
        <v>33</v>
      </c>
      <c r="S113" s="2" t="s">
        <v>27</v>
      </c>
      <c r="T113" s="2" t="s">
        <v>34</v>
      </c>
      <c r="U113" s="2" t="s">
        <v>35</v>
      </c>
      <c r="V113" s="2" t="s">
        <v>36</v>
      </c>
      <c r="W113" s="2" t="s">
        <v>37</v>
      </c>
      <c r="X113" s="4" t="s">
        <v>455</v>
      </c>
      <c r="Y113" s="4" t="s">
        <v>2501</v>
      </c>
      <c r="Z113" t="str">
        <f t="shared" si="6"/>
        <v>977081550427</v>
      </c>
      <c r="AA113" t="str">
        <f t="shared" si="7"/>
        <v>081550427</v>
      </c>
      <c r="AB113" t="str">
        <f t="shared" si="8"/>
        <v>81550427</v>
      </c>
      <c r="AC113" t="str">
        <f t="shared" si="9"/>
        <v>+97781550427</v>
      </c>
      <c r="AD113" t="str">
        <f t="shared" si="10"/>
        <v>Landline (multiple lines)</v>
      </c>
      <c r="AE113" t="str">
        <f t="shared" si="11"/>
        <v>Valid</v>
      </c>
    </row>
    <row r="114" spans="1:31" x14ac:dyDescent="0.3">
      <c r="A114" s="2" t="s">
        <v>457</v>
      </c>
      <c r="B114" s="2" t="s">
        <v>458</v>
      </c>
      <c r="C114" s="2" t="s">
        <v>459</v>
      </c>
      <c r="D114" s="2" t="s">
        <v>355</v>
      </c>
      <c r="E114" s="2" t="s">
        <v>459</v>
      </c>
      <c r="F114" s="2" t="s">
        <v>459</v>
      </c>
      <c r="G114" s="5" t="str" cm="1">
        <f t="array" ref="G114">IFERROR(INDEX(City_Lookup!$B$2:$B$297,MATCH(TRUE,ISNUMBER(SEARCH(City_Lookup!$A$2:$A$297,$F114&amp;" "&amp;$E114)),0)),"Not Available")</f>
        <v>Dang</v>
      </c>
      <c r="H114" s="5" t="str">
        <f>IFERROR(INDEX(City_Lookup!$E$2:$E$66,MATCH($G114,City_Lookup!$D$2:$D$66,0)),"Not Available")</f>
        <v>Lumbini</v>
      </c>
      <c r="I114" s="2" t="s">
        <v>28</v>
      </c>
      <c r="J114" s="2" t="s">
        <v>39</v>
      </c>
      <c r="K114" s="2"/>
      <c r="L114" s="2" t="s">
        <v>356</v>
      </c>
      <c r="M114" s="2" t="s">
        <v>356</v>
      </c>
      <c r="N114" s="2" t="s">
        <v>357</v>
      </c>
      <c r="O114" s="2">
        <v>1</v>
      </c>
      <c r="P114" s="2" t="s">
        <v>460</v>
      </c>
      <c r="Q114" s="2" t="s">
        <v>461</v>
      </c>
      <c r="R114" s="2" t="s">
        <v>33</v>
      </c>
      <c r="S114" s="2" t="s">
        <v>27</v>
      </c>
      <c r="T114" s="2" t="s">
        <v>34</v>
      </c>
      <c r="U114" s="2" t="s">
        <v>35</v>
      </c>
      <c r="V114" s="2" t="s">
        <v>36</v>
      </c>
      <c r="W114" s="2" t="s">
        <v>37</v>
      </c>
      <c r="X114" s="4" t="s">
        <v>460</v>
      </c>
      <c r="Y114" s="4" t="s">
        <v>2501</v>
      </c>
      <c r="Z114" t="str">
        <f t="shared" si="6"/>
        <v>977082562602</v>
      </c>
      <c r="AA114" t="str">
        <f t="shared" si="7"/>
        <v>082562602</v>
      </c>
      <c r="AB114" t="str">
        <f t="shared" si="8"/>
        <v>82562602</v>
      </c>
      <c r="AC114" t="str">
        <f t="shared" si="9"/>
        <v>+97782562602</v>
      </c>
      <c r="AD114" t="str">
        <f t="shared" si="10"/>
        <v>Landline</v>
      </c>
      <c r="AE114" t="str">
        <f t="shared" si="11"/>
        <v>Valid</v>
      </c>
    </row>
    <row r="115" spans="1:31" x14ac:dyDescent="0.3">
      <c r="A115" s="2" t="s">
        <v>462</v>
      </c>
      <c r="B115" s="2" t="s">
        <v>463</v>
      </c>
      <c r="C115" s="2" t="s">
        <v>464</v>
      </c>
      <c r="D115" s="2" t="s">
        <v>355</v>
      </c>
      <c r="E115" s="2" t="s">
        <v>464</v>
      </c>
      <c r="F115" s="2" t="s">
        <v>464</v>
      </c>
      <c r="G115" s="5" t="str" cm="1">
        <f t="array" ref="G115">IFERROR(INDEX(City_Lookup!$B$2:$B$297,MATCH(TRUE,ISNUMBER(SEARCH(City_Lookup!$A$2:$A$297,$F115&amp;" "&amp;$E115)),0)),"Not Available")</f>
        <v>Rupandehi</v>
      </c>
      <c r="H115" s="5" t="str">
        <f>IFERROR(INDEX(City_Lookup!$E$2:$E$66,MATCH($G115,City_Lookup!$D$2:$D$66,0)),"Not Available")</f>
        <v>Lumbini</v>
      </c>
      <c r="I115" s="2" t="s">
        <v>28</v>
      </c>
      <c r="J115" s="2" t="s">
        <v>39</v>
      </c>
      <c r="K115" s="2"/>
      <c r="L115" s="2" t="s">
        <v>356</v>
      </c>
      <c r="M115" s="2" t="s">
        <v>356</v>
      </c>
      <c r="N115" s="2" t="s">
        <v>357</v>
      </c>
      <c r="O115" s="2">
        <v>1</v>
      </c>
      <c r="P115" s="2" t="s">
        <v>465</v>
      </c>
      <c r="Q115" s="2" t="s">
        <v>466</v>
      </c>
      <c r="R115" s="2" t="s">
        <v>33</v>
      </c>
      <c r="S115" s="2" t="s">
        <v>27</v>
      </c>
      <c r="T115" s="2" t="s">
        <v>34</v>
      </c>
      <c r="U115" s="2" t="s">
        <v>35</v>
      </c>
      <c r="V115" s="2" t="s">
        <v>36</v>
      </c>
      <c r="W115" s="2" t="s">
        <v>37</v>
      </c>
      <c r="X115" s="4" t="s">
        <v>465</v>
      </c>
      <c r="Y115" s="4" t="s">
        <v>2501</v>
      </c>
      <c r="Z115" t="str">
        <f t="shared" si="6"/>
        <v>977071415275</v>
      </c>
      <c r="AA115" t="str">
        <f t="shared" si="7"/>
        <v>071415275</v>
      </c>
      <c r="AB115" t="str">
        <f t="shared" si="8"/>
        <v>71415275</v>
      </c>
      <c r="AC115" t="str">
        <f t="shared" si="9"/>
        <v>+97771415275</v>
      </c>
      <c r="AD115" t="str">
        <f t="shared" si="10"/>
        <v>Landline</v>
      </c>
      <c r="AE115" t="str">
        <f t="shared" si="11"/>
        <v>Valid</v>
      </c>
    </row>
    <row r="116" spans="1:31" x14ac:dyDescent="0.3">
      <c r="A116" s="2" t="s">
        <v>467</v>
      </c>
      <c r="B116" s="2" t="s">
        <v>468</v>
      </c>
      <c r="C116" s="2" t="s">
        <v>469</v>
      </c>
      <c r="D116" s="2" t="s">
        <v>355</v>
      </c>
      <c r="E116" s="2" t="s">
        <v>469</v>
      </c>
      <c r="F116" s="2" t="s">
        <v>469</v>
      </c>
      <c r="G116" s="5" t="str" cm="1">
        <f t="array" ref="G116">IFERROR(INDEX(City_Lookup!$B$2:$B$297,MATCH(TRUE,ISNUMBER(SEARCH(City_Lookup!$A$2:$A$297,$F116&amp;" "&amp;$E116)),0)),"Not Available")</f>
        <v>Rupandehi</v>
      </c>
      <c r="H116" s="5" t="str">
        <f>IFERROR(INDEX(City_Lookup!$E$2:$E$66,MATCH($G116,City_Lookup!$D$2:$D$66,0)),"Not Available")</f>
        <v>Lumbini</v>
      </c>
      <c r="I116" s="2" t="s">
        <v>28</v>
      </c>
      <c r="J116" s="2" t="s">
        <v>39</v>
      </c>
      <c r="K116" s="2"/>
      <c r="L116" s="2" t="s">
        <v>356</v>
      </c>
      <c r="M116" s="2" t="s">
        <v>356</v>
      </c>
      <c r="N116" s="2" t="s">
        <v>357</v>
      </c>
      <c r="O116" s="2">
        <v>1</v>
      </c>
      <c r="P116" s="2" t="s">
        <v>470</v>
      </c>
      <c r="Q116" s="2" t="s">
        <v>471</v>
      </c>
      <c r="R116" s="2" t="s">
        <v>33</v>
      </c>
      <c r="S116" s="2" t="s">
        <v>27</v>
      </c>
      <c r="T116" s="2" t="s">
        <v>34</v>
      </c>
      <c r="U116" s="2" t="s">
        <v>35</v>
      </c>
      <c r="V116" s="2" t="s">
        <v>36</v>
      </c>
      <c r="W116" s="2" t="s">
        <v>37</v>
      </c>
      <c r="X116" s="4" t="s">
        <v>470</v>
      </c>
      <c r="Y116" s="4" t="s">
        <v>2501</v>
      </c>
      <c r="Z116" t="str">
        <f t="shared" si="6"/>
        <v>977071420152</v>
      </c>
      <c r="AA116" t="str">
        <f t="shared" si="7"/>
        <v>071420152</v>
      </c>
      <c r="AB116" t="str">
        <f t="shared" si="8"/>
        <v>71420152</v>
      </c>
      <c r="AC116" t="str">
        <f t="shared" si="9"/>
        <v>+97771420152</v>
      </c>
      <c r="AD116" t="str">
        <f t="shared" si="10"/>
        <v>Landline</v>
      </c>
      <c r="AE116" t="str">
        <f t="shared" si="11"/>
        <v>Valid</v>
      </c>
    </row>
    <row r="117" spans="1:31" x14ac:dyDescent="0.3">
      <c r="A117" s="2" t="s">
        <v>472</v>
      </c>
      <c r="B117" s="2" t="s">
        <v>473</v>
      </c>
      <c r="C117" s="2" t="s">
        <v>474</v>
      </c>
      <c r="D117" s="2" t="s">
        <v>355</v>
      </c>
      <c r="E117" s="2" t="s">
        <v>474</v>
      </c>
      <c r="F117" s="2" t="s">
        <v>474</v>
      </c>
      <c r="G117" s="5" t="str" cm="1">
        <f t="array" ref="G117">IFERROR(INDEX(City_Lookup!$B$2:$B$297,MATCH(TRUE,ISNUMBER(SEARCH(City_Lookup!$A$2:$A$297,$F117&amp;" "&amp;$E117)),0)),"Not Available")</f>
        <v>Rupandehi</v>
      </c>
      <c r="H117" s="5" t="str">
        <f>IFERROR(INDEX(City_Lookup!$E$2:$E$66,MATCH($G117,City_Lookup!$D$2:$D$66,0)),"Not Available")</f>
        <v>Lumbini</v>
      </c>
      <c r="I117" s="2" t="s">
        <v>28</v>
      </c>
      <c r="J117" s="2" t="s">
        <v>39</v>
      </c>
      <c r="K117" s="2"/>
      <c r="L117" s="2" t="s">
        <v>356</v>
      </c>
      <c r="M117" s="2" t="s">
        <v>356</v>
      </c>
      <c r="N117" s="2" t="s">
        <v>357</v>
      </c>
      <c r="O117" s="2">
        <v>1</v>
      </c>
      <c r="P117" s="2" t="s">
        <v>475</v>
      </c>
      <c r="Q117" s="2" t="s">
        <v>476</v>
      </c>
      <c r="R117" s="2" t="s">
        <v>33</v>
      </c>
      <c r="S117" s="2" t="s">
        <v>27</v>
      </c>
      <c r="T117" s="2" t="s">
        <v>34</v>
      </c>
      <c r="U117" s="2" t="s">
        <v>35</v>
      </c>
      <c r="V117" s="2" t="s">
        <v>36</v>
      </c>
      <c r="W117" s="2" t="s">
        <v>37</v>
      </c>
      <c r="X117" s="4" t="s">
        <v>475</v>
      </c>
      <c r="Y117" s="4" t="s">
        <v>2501</v>
      </c>
      <c r="Z117" t="str">
        <f t="shared" si="6"/>
        <v>977071575428</v>
      </c>
      <c r="AA117" t="str">
        <f t="shared" si="7"/>
        <v>071575428</v>
      </c>
      <c r="AB117" t="str">
        <f t="shared" si="8"/>
        <v>71575428</v>
      </c>
      <c r="AC117" t="str">
        <f t="shared" si="9"/>
        <v>+97771575428</v>
      </c>
      <c r="AD117" t="str">
        <f t="shared" si="10"/>
        <v>Landline (multiple lines)</v>
      </c>
      <c r="AE117" t="str">
        <f t="shared" si="11"/>
        <v>Valid</v>
      </c>
    </row>
    <row r="118" spans="1:31" x14ac:dyDescent="0.3">
      <c r="A118" s="2" t="s">
        <v>477</v>
      </c>
      <c r="B118" s="2" t="s">
        <v>478</v>
      </c>
      <c r="C118" s="2" t="s">
        <v>479</v>
      </c>
      <c r="D118" s="2" t="s">
        <v>355</v>
      </c>
      <c r="E118" s="2" t="s">
        <v>479</v>
      </c>
      <c r="F118" s="2" t="s">
        <v>479</v>
      </c>
      <c r="G118" s="5" t="str" cm="1">
        <f t="array" ref="G118">IFERROR(INDEX(City_Lookup!$B$2:$B$297,MATCH(TRUE,ISNUMBER(SEARCH(City_Lookup!$A$2:$A$297,$F118&amp;" "&amp;$E118)),0)),"Not Available")</f>
        <v>Rupandehi</v>
      </c>
      <c r="H118" s="5" t="str">
        <f>IFERROR(INDEX(City_Lookup!$E$2:$E$66,MATCH($G118,City_Lookup!$D$2:$D$66,0)),"Not Available")</f>
        <v>Lumbini</v>
      </c>
      <c r="I118" s="2" t="s">
        <v>28</v>
      </c>
      <c r="J118" s="2" t="s">
        <v>39</v>
      </c>
      <c r="K118" s="2"/>
      <c r="L118" s="2" t="s">
        <v>356</v>
      </c>
      <c r="M118" s="2" t="s">
        <v>356</v>
      </c>
      <c r="N118" s="2" t="s">
        <v>357</v>
      </c>
      <c r="O118" s="2">
        <v>1</v>
      </c>
      <c r="P118" s="2" t="s">
        <v>480</v>
      </c>
      <c r="Q118" s="2" t="s">
        <v>481</v>
      </c>
      <c r="R118" s="2" t="s">
        <v>33</v>
      </c>
      <c r="S118" s="2" t="s">
        <v>27</v>
      </c>
      <c r="T118" s="2" t="s">
        <v>34</v>
      </c>
      <c r="U118" s="2" t="s">
        <v>35</v>
      </c>
      <c r="V118" s="2" t="s">
        <v>36</v>
      </c>
      <c r="W118" s="2" t="s">
        <v>37</v>
      </c>
      <c r="X118" s="4" t="s">
        <v>480</v>
      </c>
      <c r="Y118" s="4" t="s">
        <v>2501</v>
      </c>
      <c r="Z118" t="str">
        <f t="shared" si="6"/>
        <v>977071525957</v>
      </c>
      <c r="AA118" t="str">
        <f t="shared" si="7"/>
        <v>071525957</v>
      </c>
      <c r="AB118" t="str">
        <f t="shared" si="8"/>
        <v>71525957</v>
      </c>
      <c r="AC118" t="str">
        <f t="shared" si="9"/>
        <v>+97771525957</v>
      </c>
      <c r="AD118" t="str">
        <f t="shared" si="10"/>
        <v>Landline</v>
      </c>
      <c r="AE118" t="str">
        <f t="shared" si="11"/>
        <v>Valid</v>
      </c>
    </row>
    <row r="119" spans="1:31" x14ac:dyDescent="0.3">
      <c r="A119" s="2" t="s">
        <v>482</v>
      </c>
      <c r="B119" s="2" t="s">
        <v>483</v>
      </c>
      <c r="C119" s="2" t="s">
        <v>484</v>
      </c>
      <c r="D119" s="2" t="s">
        <v>355</v>
      </c>
      <c r="E119" s="2" t="s">
        <v>484</v>
      </c>
      <c r="F119" s="2" t="s">
        <v>484</v>
      </c>
      <c r="G119" s="5" t="str" cm="1">
        <f t="array" ref="G119">IFERROR(INDEX(City_Lookup!$B$2:$B$297,MATCH(TRUE,ISNUMBER(SEARCH(City_Lookup!$A$2:$A$297,$F119&amp;" "&amp;$E119)),0)),"Not Available")</f>
        <v>Chitwan</v>
      </c>
      <c r="H119" s="5" t="str">
        <f>IFERROR(INDEX(City_Lookup!$E$2:$E$66,MATCH($G119,City_Lookup!$D$2:$D$66,0)),"Not Available")</f>
        <v>Bagmati</v>
      </c>
      <c r="I119" s="2" t="s">
        <v>28</v>
      </c>
      <c r="J119" s="2" t="s">
        <v>39</v>
      </c>
      <c r="K119" s="2"/>
      <c r="L119" s="2" t="s">
        <v>356</v>
      </c>
      <c r="M119" s="2" t="s">
        <v>356</v>
      </c>
      <c r="N119" s="2" t="s">
        <v>357</v>
      </c>
      <c r="O119" s="2">
        <v>1</v>
      </c>
      <c r="P119" s="2" t="s">
        <v>485</v>
      </c>
      <c r="Q119" s="2" t="s">
        <v>486</v>
      </c>
      <c r="R119" s="2" t="s">
        <v>33</v>
      </c>
      <c r="S119" s="2" t="s">
        <v>27</v>
      </c>
      <c r="T119" s="2" t="s">
        <v>34</v>
      </c>
      <c r="U119" s="2" t="s">
        <v>35</v>
      </c>
      <c r="V119" s="2" t="s">
        <v>36</v>
      </c>
      <c r="W119" s="2" t="s">
        <v>37</v>
      </c>
      <c r="X119" s="4" t="s">
        <v>485</v>
      </c>
      <c r="Y119" s="4" t="s">
        <v>2501</v>
      </c>
      <c r="Z119" t="str">
        <f t="shared" si="6"/>
        <v>9855015309</v>
      </c>
      <c r="AA119" t="str">
        <f t="shared" si="7"/>
        <v>9855015309</v>
      </c>
      <c r="AB119" t="str">
        <f t="shared" si="8"/>
        <v>9855015309</v>
      </c>
      <c r="AC119" t="str">
        <f t="shared" si="9"/>
        <v>+9779855015309</v>
      </c>
      <c r="AD119" t="str">
        <f t="shared" si="10"/>
        <v>Mobile</v>
      </c>
      <c r="AE119" t="str">
        <f t="shared" si="11"/>
        <v>Valid</v>
      </c>
    </row>
    <row r="120" spans="1:31" x14ac:dyDescent="0.3">
      <c r="A120" s="2" t="s">
        <v>487</v>
      </c>
      <c r="B120" s="2" t="s">
        <v>488</v>
      </c>
      <c r="C120" s="2" t="s">
        <v>489</v>
      </c>
      <c r="D120" s="2" t="s">
        <v>355</v>
      </c>
      <c r="E120" s="2" t="s">
        <v>489</v>
      </c>
      <c r="F120" s="2" t="s">
        <v>489</v>
      </c>
      <c r="G120" s="5" t="str" cm="1">
        <f t="array" ref="G120">IFERROR(INDEX(City_Lookup!$B$2:$B$297,MATCH(TRUE,ISNUMBER(SEARCH(City_Lookup!$A$2:$A$297,$F120&amp;" "&amp;$E120)),0)),"Not Available")</f>
        <v>Morang</v>
      </c>
      <c r="H120" s="5" t="str">
        <f>IFERROR(INDEX(City_Lookup!$E$2:$E$66,MATCH($G120,City_Lookup!$D$2:$D$66,0)),"Not Available")</f>
        <v>Koshi</v>
      </c>
      <c r="I120" s="2" t="s">
        <v>28</v>
      </c>
      <c r="J120" s="2" t="s">
        <v>39</v>
      </c>
      <c r="K120" s="2"/>
      <c r="L120" s="2" t="s">
        <v>356</v>
      </c>
      <c r="M120" s="2" t="s">
        <v>356</v>
      </c>
      <c r="N120" s="2" t="s">
        <v>357</v>
      </c>
      <c r="O120" s="2">
        <v>1</v>
      </c>
      <c r="P120" s="2" t="s">
        <v>490</v>
      </c>
      <c r="Q120" s="2" t="s">
        <v>491</v>
      </c>
      <c r="R120" s="2" t="s">
        <v>33</v>
      </c>
      <c r="S120" s="2" t="s">
        <v>27</v>
      </c>
      <c r="T120" s="2" t="s">
        <v>34</v>
      </c>
      <c r="U120" s="2" t="s">
        <v>35</v>
      </c>
      <c r="V120" s="2" t="s">
        <v>36</v>
      </c>
      <c r="W120" s="2" t="s">
        <v>37</v>
      </c>
      <c r="X120" s="4" t="s">
        <v>490</v>
      </c>
      <c r="Y120" s="4" t="s">
        <v>2501</v>
      </c>
      <c r="Z120" t="str">
        <f t="shared" si="6"/>
        <v>977021545212</v>
      </c>
      <c r="AA120" t="str">
        <f t="shared" si="7"/>
        <v>021545212</v>
      </c>
      <c r="AB120" t="str">
        <f t="shared" si="8"/>
        <v>21545212</v>
      </c>
      <c r="AC120" t="str">
        <f t="shared" si="9"/>
        <v>+97721545212</v>
      </c>
      <c r="AD120" t="str">
        <f t="shared" si="10"/>
        <v>Landline</v>
      </c>
      <c r="AE120" t="str">
        <f t="shared" si="11"/>
        <v>Valid</v>
      </c>
    </row>
    <row r="121" spans="1:31" x14ac:dyDescent="0.3">
      <c r="A121" s="2" t="s">
        <v>492</v>
      </c>
      <c r="B121" s="2" t="s">
        <v>493</v>
      </c>
      <c r="C121" s="2" t="s">
        <v>494</v>
      </c>
      <c r="D121" s="2" t="s">
        <v>355</v>
      </c>
      <c r="E121" s="2" t="s">
        <v>494</v>
      </c>
      <c r="F121" s="2" t="s">
        <v>494</v>
      </c>
      <c r="G121" s="5" t="str" cm="1">
        <f t="array" ref="G121">IFERROR(INDEX(City_Lookup!$B$2:$B$297,MATCH(TRUE,ISNUMBER(SEARCH(City_Lookup!$A$2:$A$297,$F121&amp;" "&amp;$E121)),0)),"Not Available")</f>
        <v>Jhapa</v>
      </c>
      <c r="H121" s="5" t="str">
        <f>IFERROR(INDEX(City_Lookup!$E$2:$E$66,MATCH($G121,City_Lookup!$D$2:$D$66,0)),"Not Available")</f>
        <v>Koshi</v>
      </c>
      <c r="I121" s="2" t="s">
        <v>28</v>
      </c>
      <c r="J121" s="2" t="s">
        <v>39</v>
      </c>
      <c r="K121" s="2"/>
      <c r="L121" s="2" t="s">
        <v>356</v>
      </c>
      <c r="M121" s="2" t="s">
        <v>356</v>
      </c>
      <c r="N121" s="2" t="s">
        <v>357</v>
      </c>
      <c r="O121" s="2">
        <v>1</v>
      </c>
      <c r="P121" s="2" t="s">
        <v>495</v>
      </c>
      <c r="Q121" s="2" t="s">
        <v>496</v>
      </c>
      <c r="R121" s="2" t="s">
        <v>33</v>
      </c>
      <c r="S121" s="2" t="s">
        <v>27</v>
      </c>
      <c r="T121" s="2" t="s">
        <v>34</v>
      </c>
      <c r="U121" s="2" t="s">
        <v>35</v>
      </c>
      <c r="V121" s="2" t="s">
        <v>36</v>
      </c>
      <c r="W121" s="2" t="s">
        <v>37</v>
      </c>
      <c r="X121" s="4" t="s">
        <v>495</v>
      </c>
      <c r="Y121" s="4" t="s">
        <v>2501</v>
      </c>
      <c r="Z121" t="str">
        <f t="shared" si="6"/>
        <v>977023509700</v>
      </c>
      <c r="AA121" t="str">
        <f t="shared" si="7"/>
        <v>023509700</v>
      </c>
      <c r="AB121" t="str">
        <f t="shared" si="8"/>
        <v>23509700</v>
      </c>
      <c r="AC121" t="str">
        <f t="shared" si="9"/>
        <v>+97723509700</v>
      </c>
      <c r="AD121" t="str">
        <f t="shared" si="10"/>
        <v>Landline</v>
      </c>
      <c r="AE121" t="str">
        <f t="shared" si="11"/>
        <v>Valid</v>
      </c>
    </row>
    <row r="122" spans="1:31" x14ac:dyDescent="0.3">
      <c r="A122" s="2" t="s">
        <v>497</v>
      </c>
      <c r="B122" s="2" t="s">
        <v>498</v>
      </c>
      <c r="C122" s="2" t="s">
        <v>499</v>
      </c>
      <c r="D122" s="2" t="s">
        <v>355</v>
      </c>
      <c r="E122" s="2" t="s">
        <v>499</v>
      </c>
      <c r="F122" s="2" t="s">
        <v>499</v>
      </c>
      <c r="G122" s="5" t="str" cm="1">
        <f t="array" ref="G122">IFERROR(INDEX(City_Lookup!$B$2:$B$297,MATCH(TRUE,ISNUMBER(SEARCH(City_Lookup!$A$2:$A$297,$F122&amp;" "&amp;$E122)),0)),"Not Available")</f>
        <v>Sindhuli</v>
      </c>
      <c r="H122" s="5" t="str">
        <f>IFERROR(INDEX(City_Lookup!$E$2:$E$66,MATCH($G122,City_Lookup!$D$2:$D$66,0)),"Not Available")</f>
        <v>Bagmati</v>
      </c>
      <c r="I122" s="2" t="s">
        <v>28</v>
      </c>
      <c r="J122" s="2" t="s">
        <v>39</v>
      </c>
      <c r="K122" s="2"/>
      <c r="L122" s="2" t="s">
        <v>356</v>
      </c>
      <c r="M122" s="2" t="s">
        <v>356</v>
      </c>
      <c r="N122" s="2" t="s">
        <v>357</v>
      </c>
      <c r="O122" s="2">
        <v>1</v>
      </c>
      <c r="P122" s="2" t="s">
        <v>500</v>
      </c>
      <c r="Q122" s="2" t="s">
        <v>501</v>
      </c>
      <c r="R122" s="2" t="s">
        <v>33</v>
      </c>
      <c r="S122" s="2" t="s">
        <v>27</v>
      </c>
      <c r="T122" s="2" t="s">
        <v>34</v>
      </c>
      <c r="U122" s="2" t="s">
        <v>35</v>
      </c>
      <c r="V122" s="2" t="s">
        <v>36</v>
      </c>
      <c r="W122" s="2" t="s">
        <v>37</v>
      </c>
      <c r="X122" s="4" t="s">
        <v>500</v>
      </c>
      <c r="Y122" s="4" t="s">
        <v>2501</v>
      </c>
      <c r="Z122" t="str">
        <f t="shared" si="6"/>
        <v>9779851045480</v>
      </c>
      <c r="AA122" t="str">
        <f t="shared" si="7"/>
        <v>9851045480</v>
      </c>
      <c r="AB122" t="str">
        <f t="shared" si="8"/>
        <v>9851045480</v>
      </c>
      <c r="AC122" t="str">
        <f t="shared" si="9"/>
        <v>+9779851045480</v>
      </c>
      <c r="AD122" t="str">
        <f t="shared" si="10"/>
        <v>Mobile</v>
      </c>
      <c r="AE122" t="str">
        <f t="shared" si="11"/>
        <v>Valid</v>
      </c>
    </row>
    <row r="123" spans="1:31" x14ac:dyDescent="0.3">
      <c r="A123" s="2" t="s">
        <v>502</v>
      </c>
      <c r="B123" s="2" t="s">
        <v>503</v>
      </c>
      <c r="C123" s="2" t="s">
        <v>504</v>
      </c>
      <c r="D123" s="2" t="s">
        <v>355</v>
      </c>
      <c r="E123" s="2" t="s">
        <v>504</v>
      </c>
      <c r="F123" s="2" t="s">
        <v>504</v>
      </c>
      <c r="G123" s="5" t="str" cm="1">
        <f t="array" ref="G123">IFERROR(INDEX(City_Lookup!$B$2:$B$297,MATCH(TRUE,ISNUMBER(SEARCH(City_Lookup!$A$2:$A$297,$F123&amp;" "&amp;$E123)),0)),"Not Available")</f>
        <v>Parsa</v>
      </c>
      <c r="H123" s="5" t="str">
        <f>IFERROR(INDEX(City_Lookup!$E$2:$E$66,MATCH($G123,City_Lookup!$D$2:$D$66,0)),"Not Available")</f>
        <v>Madhesh</v>
      </c>
      <c r="I123" s="2" t="s">
        <v>28</v>
      </c>
      <c r="J123" s="2" t="s">
        <v>39</v>
      </c>
      <c r="K123" s="2"/>
      <c r="L123" s="2" t="s">
        <v>356</v>
      </c>
      <c r="M123" s="2" t="s">
        <v>356</v>
      </c>
      <c r="N123" s="2" t="s">
        <v>357</v>
      </c>
      <c r="O123" s="2">
        <v>1</v>
      </c>
      <c r="P123" s="2" t="s">
        <v>505</v>
      </c>
      <c r="Q123" s="2" t="s">
        <v>506</v>
      </c>
      <c r="R123" s="2" t="s">
        <v>33</v>
      </c>
      <c r="S123" s="2" t="s">
        <v>27</v>
      </c>
      <c r="T123" s="2" t="s">
        <v>34</v>
      </c>
      <c r="U123" s="2" t="s">
        <v>35</v>
      </c>
      <c r="V123" s="2" t="s">
        <v>36</v>
      </c>
      <c r="W123" s="2" t="s">
        <v>37</v>
      </c>
      <c r="X123" s="4" t="s">
        <v>505</v>
      </c>
      <c r="Y123" s="4" t="s">
        <v>2501</v>
      </c>
      <c r="Z123" t="str">
        <f t="shared" si="6"/>
        <v>977051591055</v>
      </c>
      <c r="AA123" t="str">
        <f t="shared" si="7"/>
        <v>051591055</v>
      </c>
      <c r="AB123" t="str">
        <f t="shared" si="8"/>
        <v>51591055</v>
      </c>
      <c r="AC123" t="str">
        <f t="shared" si="9"/>
        <v>+97751591055</v>
      </c>
      <c r="AD123" t="str">
        <f t="shared" si="10"/>
        <v>Landline</v>
      </c>
      <c r="AE123" t="str">
        <f t="shared" si="11"/>
        <v>Valid</v>
      </c>
    </row>
    <row r="124" spans="1:31" x14ac:dyDescent="0.3">
      <c r="A124" s="2" t="s">
        <v>507</v>
      </c>
      <c r="B124" s="2" t="s">
        <v>508</v>
      </c>
      <c r="C124" s="2" t="s">
        <v>509</v>
      </c>
      <c r="D124" s="2" t="s">
        <v>355</v>
      </c>
      <c r="E124" s="2" t="s">
        <v>509</v>
      </c>
      <c r="F124" s="2" t="s">
        <v>509</v>
      </c>
      <c r="G124" s="5" t="str" cm="1">
        <f t="array" ref="G124">IFERROR(INDEX(City_Lookup!$B$2:$B$297,MATCH(TRUE,ISNUMBER(SEARCH(City_Lookup!$A$2:$A$297,$F124&amp;" "&amp;$E124)),0)),"Not Available")</f>
        <v>Parsa</v>
      </c>
      <c r="H124" s="5" t="str">
        <f>IFERROR(INDEX(City_Lookup!$E$2:$E$66,MATCH($G124,City_Lookup!$D$2:$D$66,0)),"Not Available")</f>
        <v>Madhesh</v>
      </c>
      <c r="I124" s="2" t="s">
        <v>28</v>
      </c>
      <c r="J124" s="2" t="s">
        <v>39</v>
      </c>
      <c r="K124" s="2"/>
      <c r="L124" s="2" t="s">
        <v>356</v>
      </c>
      <c r="M124" s="2" t="s">
        <v>356</v>
      </c>
      <c r="N124" s="2" t="s">
        <v>357</v>
      </c>
      <c r="O124" s="2">
        <v>1</v>
      </c>
      <c r="P124" s="2" t="s">
        <v>363</v>
      </c>
      <c r="Q124" s="2" t="s">
        <v>510</v>
      </c>
      <c r="R124" s="2" t="s">
        <v>33</v>
      </c>
      <c r="S124" s="2" t="s">
        <v>27</v>
      </c>
      <c r="T124" s="2" t="s">
        <v>34</v>
      </c>
      <c r="U124" s="2" t="s">
        <v>35</v>
      </c>
      <c r="V124" s="2" t="s">
        <v>36</v>
      </c>
      <c r="W124" s="2" t="s">
        <v>37</v>
      </c>
      <c r="X124" s="4" t="s">
        <v>363</v>
      </c>
      <c r="Y124" s="4" t="s">
        <v>2501</v>
      </c>
      <c r="Z124" t="str">
        <f t="shared" si="6"/>
        <v>977091523714</v>
      </c>
      <c r="AA124" t="str">
        <f t="shared" si="7"/>
        <v>091523714</v>
      </c>
      <c r="AB124" t="str">
        <f t="shared" si="8"/>
        <v>91523714</v>
      </c>
      <c r="AC124" t="str">
        <f t="shared" si="9"/>
        <v>+97791523714</v>
      </c>
      <c r="AD124" t="str">
        <f t="shared" si="10"/>
        <v>Landline (multiple lines)</v>
      </c>
      <c r="AE124" t="str">
        <f t="shared" si="11"/>
        <v>Valid</v>
      </c>
    </row>
    <row r="125" spans="1:31" x14ac:dyDescent="0.3">
      <c r="A125" s="2" t="s">
        <v>511</v>
      </c>
      <c r="B125" s="2" t="s">
        <v>512</v>
      </c>
      <c r="C125" s="2" t="s">
        <v>513</v>
      </c>
      <c r="D125" s="2" t="s">
        <v>355</v>
      </c>
      <c r="E125" s="2" t="s">
        <v>513</v>
      </c>
      <c r="F125" s="2" t="s">
        <v>513</v>
      </c>
      <c r="G125" s="5" t="str" cm="1">
        <f t="array" ref="G125">IFERROR(INDEX(City_Lookup!$B$2:$B$297,MATCH(TRUE,ISNUMBER(SEARCH(City_Lookup!$A$2:$A$297,$F125&amp;" "&amp;$E125)),0)),"Not Available")</f>
        <v>Makwanpur</v>
      </c>
      <c r="H125" s="5" t="str">
        <f>IFERROR(INDEX(City_Lookup!$E$2:$E$66,MATCH($G125,City_Lookup!$D$2:$D$66,0)),"Not Available")</f>
        <v>Bagmati</v>
      </c>
      <c r="I125" s="2" t="s">
        <v>28</v>
      </c>
      <c r="J125" s="2" t="s">
        <v>39</v>
      </c>
      <c r="K125" s="2"/>
      <c r="L125" s="2" t="s">
        <v>356</v>
      </c>
      <c r="M125" s="2" t="s">
        <v>356</v>
      </c>
      <c r="N125" s="2" t="s">
        <v>357</v>
      </c>
      <c r="O125" s="2">
        <v>1</v>
      </c>
      <c r="P125" s="2" t="s">
        <v>514</v>
      </c>
      <c r="Q125" s="2" t="s">
        <v>515</v>
      </c>
      <c r="R125" s="2" t="s">
        <v>33</v>
      </c>
      <c r="S125" s="2" t="s">
        <v>27</v>
      </c>
      <c r="T125" s="2" t="s">
        <v>34</v>
      </c>
      <c r="U125" s="2" t="s">
        <v>35</v>
      </c>
      <c r="V125" s="2" t="s">
        <v>36</v>
      </c>
      <c r="W125" s="2" t="s">
        <v>37</v>
      </c>
      <c r="X125" s="4" t="s">
        <v>514</v>
      </c>
      <c r="Y125" s="4" t="s">
        <v>2501</v>
      </c>
      <c r="Z125" t="str">
        <f t="shared" si="6"/>
        <v>977057520200</v>
      </c>
      <c r="AA125" t="str">
        <f t="shared" si="7"/>
        <v>057520200</v>
      </c>
      <c r="AB125" t="str">
        <f t="shared" si="8"/>
        <v>57520200</v>
      </c>
      <c r="AC125" t="str">
        <f t="shared" si="9"/>
        <v>+97757520200</v>
      </c>
      <c r="AD125" t="str">
        <f t="shared" si="10"/>
        <v>Landline</v>
      </c>
      <c r="AE125" t="str">
        <f t="shared" si="11"/>
        <v>Valid</v>
      </c>
    </row>
    <row r="126" spans="1:31" x14ac:dyDescent="0.3">
      <c r="A126" s="2" t="s">
        <v>516</v>
      </c>
      <c r="B126" s="2" t="s">
        <v>517</v>
      </c>
      <c r="C126" s="2" t="s">
        <v>518</v>
      </c>
      <c r="D126" s="2" t="s">
        <v>355</v>
      </c>
      <c r="E126" s="2" t="s">
        <v>518</v>
      </c>
      <c r="F126" s="2" t="s">
        <v>518</v>
      </c>
      <c r="G126" s="5" t="str" cm="1">
        <f t="array" ref="G126">IFERROR(INDEX(City_Lookup!$B$2:$B$297,MATCH(TRUE,ISNUMBER(SEARCH(City_Lookup!$A$2:$A$297,$F126&amp;" "&amp;$E126)),0)),"Not Available")</f>
        <v>Makwanpur</v>
      </c>
      <c r="H126" s="5" t="str">
        <f>IFERROR(INDEX(City_Lookup!$E$2:$E$66,MATCH($G126,City_Lookup!$D$2:$D$66,0)),"Not Available")</f>
        <v>Bagmati</v>
      </c>
      <c r="I126" s="2" t="s">
        <v>28</v>
      </c>
      <c r="J126" s="2" t="s">
        <v>39</v>
      </c>
      <c r="K126" s="2"/>
      <c r="L126" s="2" t="s">
        <v>356</v>
      </c>
      <c r="M126" s="2" t="s">
        <v>356</v>
      </c>
      <c r="N126" s="2" t="s">
        <v>357</v>
      </c>
      <c r="O126" s="2">
        <v>1</v>
      </c>
      <c r="P126" s="2" t="s">
        <v>519</v>
      </c>
      <c r="Q126" s="2" t="s">
        <v>520</v>
      </c>
      <c r="R126" s="2" t="s">
        <v>33</v>
      </c>
      <c r="S126" s="2" t="s">
        <v>27</v>
      </c>
      <c r="T126" s="2" t="s">
        <v>34</v>
      </c>
      <c r="U126" s="2" t="s">
        <v>35</v>
      </c>
      <c r="V126" s="2" t="s">
        <v>36</v>
      </c>
      <c r="W126" s="2" t="s">
        <v>37</v>
      </c>
      <c r="X126" s="4" t="s">
        <v>519</v>
      </c>
      <c r="Y126" s="4" t="s">
        <v>2501</v>
      </c>
      <c r="Z126" t="str">
        <f t="shared" si="6"/>
        <v>977057520235</v>
      </c>
      <c r="AA126" t="str">
        <f t="shared" si="7"/>
        <v>057520235</v>
      </c>
      <c r="AB126" t="str">
        <f t="shared" si="8"/>
        <v>57520235</v>
      </c>
      <c r="AC126" t="str">
        <f t="shared" si="9"/>
        <v>+97757520235</v>
      </c>
      <c r="AD126" t="str">
        <f t="shared" si="10"/>
        <v>Landline</v>
      </c>
      <c r="AE126" t="str">
        <f t="shared" si="11"/>
        <v>Valid</v>
      </c>
    </row>
    <row r="127" spans="1:31" x14ac:dyDescent="0.3">
      <c r="A127" s="2" t="s">
        <v>521</v>
      </c>
      <c r="B127" s="2" t="s">
        <v>522</v>
      </c>
      <c r="C127" s="2" t="s">
        <v>523</v>
      </c>
      <c r="D127" s="2" t="s">
        <v>355</v>
      </c>
      <c r="E127" s="2" t="s">
        <v>523</v>
      </c>
      <c r="F127" s="2" t="s">
        <v>523</v>
      </c>
      <c r="G127" s="5" t="str" cm="1">
        <f t="array" ref="G127">IFERROR(INDEX(City_Lookup!$B$2:$B$297,MATCH(TRUE,ISNUMBER(SEARCH(City_Lookup!$A$2:$A$297,$F127&amp;" "&amp;$E127)),0)),"Not Available")</f>
        <v>Morang</v>
      </c>
      <c r="H127" s="5" t="str">
        <f>IFERROR(INDEX(City_Lookup!$E$2:$E$66,MATCH($G127,City_Lookup!$D$2:$D$66,0)),"Not Available")</f>
        <v>Koshi</v>
      </c>
      <c r="I127" s="2" t="s">
        <v>28</v>
      </c>
      <c r="J127" s="2" t="s">
        <v>39</v>
      </c>
      <c r="K127" s="2"/>
      <c r="L127" s="2" t="s">
        <v>356</v>
      </c>
      <c r="M127" s="2" t="s">
        <v>356</v>
      </c>
      <c r="N127" s="2" t="s">
        <v>357</v>
      </c>
      <c r="O127" s="2">
        <v>1</v>
      </c>
      <c r="P127" s="2" t="s">
        <v>524</v>
      </c>
      <c r="Q127" s="2" t="s">
        <v>525</v>
      </c>
      <c r="R127" s="2" t="s">
        <v>33</v>
      </c>
      <c r="S127" s="2" t="s">
        <v>27</v>
      </c>
      <c r="T127" s="2" t="s">
        <v>34</v>
      </c>
      <c r="U127" s="2" t="s">
        <v>35</v>
      </c>
      <c r="V127" s="2" t="s">
        <v>36</v>
      </c>
      <c r="W127" s="2" t="s">
        <v>37</v>
      </c>
      <c r="X127" s="4" t="s">
        <v>524</v>
      </c>
      <c r="Y127" s="4" t="s">
        <v>2501</v>
      </c>
      <c r="Z127" t="str">
        <f t="shared" si="6"/>
        <v>977021460609</v>
      </c>
      <c r="AA127" t="str">
        <f t="shared" si="7"/>
        <v>021460609</v>
      </c>
      <c r="AB127" t="str">
        <f t="shared" si="8"/>
        <v>21460609</v>
      </c>
      <c r="AC127" t="str">
        <f t="shared" si="9"/>
        <v>+97721460609</v>
      </c>
      <c r="AD127" t="str">
        <f t="shared" si="10"/>
        <v>Landline</v>
      </c>
      <c r="AE127" t="str">
        <f t="shared" si="11"/>
        <v>Valid</v>
      </c>
    </row>
    <row r="128" spans="1:31" x14ac:dyDescent="0.3">
      <c r="A128" s="2" t="s">
        <v>526</v>
      </c>
      <c r="B128" s="2" t="s">
        <v>527</v>
      </c>
      <c r="C128" s="2" t="s">
        <v>528</v>
      </c>
      <c r="D128" s="2" t="s">
        <v>355</v>
      </c>
      <c r="E128" s="2" t="s">
        <v>528</v>
      </c>
      <c r="F128" s="2" t="s">
        <v>528</v>
      </c>
      <c r="G128" s="5" t="str" cm="1">
        <f t="array" ref="G128">IFERROR(INDEX(City_Lookup!$B$2:$B$297,MATCH(TRUE,ISNUMBER(SEARCH(City_Lookup!$A$2:$A$297,$F128&amp;" "&amp;$E128)),0)),"Not Available")</f>
        <v>Sunsari</v>
      </c>
      <c r="H128" s="5" t="str">
        <f>IFERROR(INDEX(City_Lookup!$E$2:$E$66,MATCH($G128,City_Lookup!$D$2:$D$66,0)),"Not Available")</f>
        <v>Koshi</v>
      </c>
      <c r="I128" s="2" t="s">
        <v>28</v>
      </c>
      <c r="J128" s="2" t="s">
        <v>39</v>
      </c>
      <c r="K128" s="2"/>
      <c r="L128" s="2" t="s">
        <v>356</v>
      </c>
      <c r="M128" s="2" t="s">
        <v>356</v>
      </c>
      <c r="N128" s="2" t="s">
        <v>357</v>
      </c>
      <c r="O128" s="2">
        <v>1</v>
      </c>
      <c r="P128" s="2" t="s">
        <v>529</v>
      </c>
      <c r="Q128" s="2" t="s">
        <v>530</v>
      </c>
      <c r="R128" s="2" t="s">
        <v>33</v>
      </c>
      <c r="S128" s="2" t="s">
        <v>27</v>
      </c>
      <c r="T128" s="2" t="s">
        <v>34</v>
      </c>
      <c r="U128" s="2" t="s">
        <v>35</v>
      </c>
      <c r="V128" s="2" t="s">
        <v>36</v>
      </c>
      <c r="W128" s="2" t="s">
        <v>37</v>
      </c>
      <c r="X128" s="4" t="s">
        <v>529</v>
      </c>
      <c r="Y128" s="4" t="s">
        <v>2501</v>
      </c>
      <c r="Z128" t="str">
        <f t="shared" si="6"/>
        <v>977025587502</v>
      </c>
      <c r="AA128" t="str">
        <f t="shared" si="7"/>
        <v>025587502</v>
      </c>
      <c r="AB128" t="str">
        <f t="shared" si="8"/>
        <v>25587502</v>
      </c>
      <c r="AC128" t="str">
        <f t="shared" si="9"/>
        <v>+97725587502</v>
      </c>
      <c r="AD128" t="str">
        <f t="shared" si="10"/>
        <v>Landline</v>
      </c>
      <c r="AE128" t="str">
        <f t="shared" si="11"/>
        <v>Valid</v>
      </c>
    </row>
    <row r="129" spans="1:31" x14ac:dyDescent="0.3">
      <c r="A129" s="2" t="s">
        <v>531</v>
      </c>
      <c r="B129" s="2" t="s">
        <v>532</v>
      </c>
      <c r="C129" s="2" t="s">
        <v>533</v>
      </c>
      <c r="D129" s="2" t="s">
        <v>355</v>
      </c>
      <c r="E129" s="2" t="s">
        <v>533</v>
      </c>
      <c r="F129" s="2" t="s">
        <v>533</v>
      </c>
      <c r="G129" s="5" t="str" cm="1">
        <f t="array" ref="G129">IFERROR(INDEX(City_Lookup!$B$2:$B$297,MATCH(TRUE,ISNUMBER(SEARCH(City_Lookup!$A$2:$A$297,$F129&amp;" "&amp;$E129)),0)),"Not Available")</f>
        <v>Jhapa</v>
      </c>
      <c r="H129" s="5" t="str">
        <f>IFERROR(INDEX(City_Lookup!$E$2:$E$66,MATCH($G129,City_Lookup!$D$2:$D$66,0)),"Not Available")</f>
        <v>Koshi</v>
      </c>
      <c r="I129" s="2" t="s">
        <v>28</v>
      </c>
      <c r="J129" s="2" t="s">
        <v>39</v>
      </c>
      <c r="K129" s="2"/>
      <c r="L129" s="2" t="s">
        <v>356</v>
      </c>
      <c r="M129" s="2" t="s">
        <v>356</v>
      </c>
      <c r="N129" s="2" t="s">
        <v>357</v>
      </c>
      <c r="O129" s="2">
        <v>1</v>
      </c>
      <c r="P129" s="2" t="s">
        <v>534</v>
      </c>
      <c r="Q129" s="2" t="s">
        <v>535</v>
      </c>
      <c r="R129" s="2" t="s">
        <v>33</v>
      </c>
      <c r="S129" s="2" t="s">
        <v>27</v>
      </c>
      <c r="T129" s="2" t="s">
        <v>34</v>
      </c>
      <c r="U129" s="2" t="s">
        <v>35</v>
      </c>
      <c r="V129" s="2" t="s">
        <v>36</v>
      </c>
      <c r="W129" s="2" t="s">
        <v>37</v>
      </c>
      <c r="X129" s="4" t="s">
        <v>534</v>
      </c>
      <c r="Y129" s="4" t="s">
        <v>2501</v>
      </c>
      <c r="Z129" t="str">
        <f t="shared" si="6"/>
        <v>977023541495</v>
      </c>
      <c r="AA129" t="str">
        <f t="shared" si="7"/>
        <v>023541495</v>
      </c>
      <c r="AB129" t="str">
        <f t="shared" si="8"/>
        <v>23541495</v>
      </c>
      <c r="AC129" t="str">
        <f t="shared" si="9"/>
        <v>+97723541495</v>
      </c>
      <c r="AD129" t="str">
        <f t="shared" si="10"/>
        <v>Landline</v>
      </c>
      <c r="AE129" t="str">
        <f t="shared" si="11"/>
        <v>Valid</v>
      </c>
    </row>
    <row r="130" spans="1:31" x14ac:dyDescent="0.3">
      <c r="A130" s="2" t="s">
        <v>536</v>
      </c>
      <c r="B130" s="2" t="s">
        <v>537</v>
      </c>
      <c r="C130" s="2" t="s">
        <v>538</v>
      </c>
      <c r="D130" s="2" t="s">
        <v>355</v>
      </c>
      <c r="E130" s="2" t="s">
        <v>538</v>
      </c>
      <c r="F130" s="2" t="s">
        <v>538</v>
      </c>
      <c r="G130" s="5" t="str" cm="1">
        <f t="array" ref="G130">IFERROR(INDEX(City_Lookup!$B$2:$B$297,MATCH(TRUE,ISNUMBER(SEARCH(City_Lookup!$A$2:$A$297,$F130&amp;" "&amp;$E130)),0)),"Not Available")</f>
        <v>Kaski</v>
      </c>
      <c r="H130" s="5" t="str">
        <f>IFERROR(INDEX(City_Lookup!$E$2:$E$66,MATCH($G130,City_Lookup!$D$2:$D$66,0)),"Not Available")</f>
        <v>Gandaki</v>
      </c>
      <c r="I130" s="2" t="s">
        <v>28</v>
      </c>
      <c r="J130" s="2" t="s">
        <v>39</v>
      </c>
      <c r="K130" s="2"/>
      <c r="L130" s="2" t="s">
        <v>356</v>
      </c>
      <c r="M130" s="2" t="s">
        <v>356</v>
      </c>
      <c r="N130" s="2" t="s">
        <v>357</v>
      </c>
      <c r="O130" s="2">
        <v>1</v>
      </c>
      <c r="P130" s="2" t="s">
        <v>539</v>
      </c>
      <c r="Q130" s="2" t="s">
        <v>540</v>
      </c>
      <c r="R130" s="2" t="s">
        <v>33</v>
      </c>
      <c r="S130" s="2" t="s">
        <v>27</v>
      </c>
      <c r="T130" s="2" t="s">
        <v>34</v>
      </c>
      <c r="U130" s="2" t="s">
        <v>35</v>
      </c>
      <c r="V130" s="2" t="s">
        <v>36</v>
      </c>
      <c r="W130" s="2" t="s">
        <v>37</v>
      </c>
      <c r="X130" s="4" t="s">
        <v>539</v>
      </c>
      <c r="Y130" s="4" t="s">
        <v>2501</v>
      </c>
      <c r="Z130" t="str">
        <f t="shared" si="6"/>
        <v>977061524336</v>
      </c>
      <c r="AA130" t="str">
        <f t="shared" si="7"/>
        <v>061524336</v>
      </c>
      <c r="AB130" t="str">
        <f t="shared" si="8"/>
        <v>61524336</v>
      </c>
      <c r="AC130" t="str">
        <f t="shared" si="9"/>
        <v>+97761524336</v>
      </c>
      <c r="AD130" t="str">
        <f t="shared" si="10"/>
        <v>Landline</v>
      </c>
      <c r="AE130" t="str">
        <f t="shared" si="11"/>
        <v>Valid</v>
      </c>
    </row>
    <row r="131" spans="1:31" x14ac:dyDescent="0.3">
      <c r="A131" s="2" t="s">
        <v>541</v>
      </c>
      <c r="B131" s="2" t="s">
        <v>542</v>
      </c>
      <c r="C131" s="2" t="s">
        <v>543</v>
      </c>
      <c r="D131" s="2" t="s">
        <v>355</v>
      </c>
      <c r="E131" s="2" t="s">
        <v>543</v>
      </c>
      <c r="F131" s="2" t="s">
        <v>543</v>
      </c>
      <c r="G131" s="5" t="str" cm="1">
        <f t="array" ref="G131">IFERROR(INDEX(City_Lookup!$B$2:$B$297,MATCH(TRUE,ISNUMBER(SEARCH(City_Lookup!$A$2:$A$297,$F131&amp;" "&amp;$E131)),0)),"Not Available")</f>
        <v>Kaski</v>
      </c>
      <c r="H131" s="5" t="str">
        <f>IFERROR(INDEX(City_Lookup!$E$2:$E$66,MATCH($G131,City_Lookup!$D$2:$D$66,0)),"Not Available")</f>
        <v>Gandaki</v>
      </c>
      <c r="I131" s="2" t="s">
        <v>28</v>
      </c>
      <c r="J131" s="2" t="s">
        <v>39</v>
      </c>
      <c r="K131" s="2"/>
      <c r="L131" s="2" t="s">
        <v>356</v>
      </c>
      <c r="M131" s="2" t="s">
        <v>356</v>
      </c>
      <c r="N131" s="2" t="s">
        <v>357</v>
      </c>
      <c r="O131" s="2">
        <v>1</v>
      </c>
      <c r="P131" s="2" t="s">
        <v>544</v>
      </c>
      <c r="Q131" s="2" t="s">
        <v>545</v>
      </c>
      <c r="R131" s="2" t="s">
        <v>33</v>
      </c>
      <c r="S131" s="2" t="s">
        <v>27</v>
      </c>
      <c r="T131" s="2" t="s">
        <v>34</v>
      </c>
      <c r="U131" s="2" t="s">
        <v>35</v>
      </c>
      <c r="V131" s="2" t="s">
        <v>36</v>
      </c>
      <c r="W131" s="2" t="s">
        <v>37</v>
      </c>
      <c r="X131" s="4" t="s">
        <v>544</v>
      </c>
      <c r="Y131" s="4" t="s">
        <v>2501</v>
      </c>
      <c r="Z131" t="str">
        <f t="shared" ref="Z131:Z194" si="12">IF($X131="Not Available","",TRIM(LEFT(SUBSTITUTE(SUBSTITUTE(SUBSTITUTE(SUBSTITUTE(SUBSTITUTE(SUBSTITUTE(SUBSTITUTE($X131," ",""),"-",""),"(",""),")",""),".",""),"+","")&amp;"/","/",REPT(" ",60)),60)))</f>
        <v>977061530436</v>
      </c>
      <c r="AA131" t="str">
        <f t="shared" ref="AA131:AA194" si="13">IF($Z131="","",IF(ISNUMBER(-$Z131),IF(LEFT($Z131,3)="977",MID($Z131,4,20),$Z131),IF(ISNUMBER(SEARCH("977",$Z131)),MID($Z131,SEARCH("977",$Z131)+3,20),$Z131)))</f>
        <v>061530436</v>
      </c>
      <c r="AB131" t="str">
        <f t="shared" ref="AB131:AB194" si="14">IF($AA131="","",IF(LEFT($AA131,1)="0",MID($AA131,2,20),$AA131))</f>
        <v>61530436</v>
      </c>
      <c r="AC131" t="str">
        <f t="shared" ref="AC131:AC194" si="15">IF($AB131="","Not Available","+977"&amp;$AB131)</f>
        <v>+97761530436</v>
      </c>
      <c r="AD131" t="str">
        <f t="shared" ref="AD131:AD194" si="16">IF($AB131="","Not Available",IF(AND(LEN($AB131)=10,LEFT($AB131,1)="9"),"Mobile",IF(AND(LEN($AB131)&gt;=8,LEN($AB131)&lt;=9),IF(ISNUMBER(SEARCH("/",$X131)),"Landline (multiple lines)","Landline"),"Unrecognised")))</f>
        <v>Landline</v>
      </c>
      <c r="AE131" t="str">
        <f t="shared" ref="AE131:AE194" si="17">IF($AB131="","Not Available",IF(AND(ISNUMBER(-$AB131),$AD131&lt;&gt;"Unrecognised"),"Valid","Check format"))</f>
        <v>Valid</v>
      </c>
    </row>
    <row r="132" spans="1:31" x14ac:dyDescent="0.3">
      <c r="A132" s="2" t="s">
        <v>546</v>
      </c>
      <c r="B132" s="2" t="s">
        <v>547</v>
      </c>
      <c r="C132" s="2" t="s">
        <v>548</v>
      </c>
      <c r="D132" s="2" t="s">
        <v>355</v>
      </c>
      <c r="E132" s="2" t="s">
        <v>548</v>
      </c>
      <c r="F132" s="2" t="s">
        <v>548</v>
      </c>
      <c r="G132" s="5" t="str" cm="1">
        <f t="array" ref="G132">IFERROR(INDEX(City_Lookup!$B$2:$B$297,MATCH(TRUE,ISNUMBER(SEARCH(City_Lookup!$A$2:$A$297,$F132&amp;" "&amp;$E132)),0)),"Not Available")</f>
        <v>Kaski</v>
      </c>
      <c r="H132" s="5" t="str">
        <f>IFERROR(INDEX(City_Lookup!$E$2:$E$66,MATCH($G132,City_Lookup!$D$2:$D$66,0)),"Not Available")</f>
        <v>Gandaki</v>
      </c>
      <c r="I132" s="2" t="s">
        <v>28</v>
      </c>
      <c r="J132" s="2" t="s">
        <v>39</v>
      </c>
      <c r="K132" s="2"/>
      <c r="L132" s="2" t="s">
        <v>356</v>
      </c>
      <c r="M132" s="2" t="s">
        <v>356</v>
      </c>
      <c r="N132" s="2" t="s">
        <v>357</v>
      </c>
      <c r="O132" s="2">
        <v>1</v>
      </c>
      <c r="P132" s="2" t="s">
        <v>549</v>
      </c>
      <c r="Q132" s="2" t="s">
        <v>550</v>
      </c>
      <c r="R132" s="2" t="s">
        <v>33</v>
      </c>
      <c r="S132" s="2" t="s">
        <v>27</v>
      </c>
      <c r="T132" s="2" t="s">
        <v>34</v>
      </c>
      <c r="U132" s="2" t="s">
        <v>35</v>
      </c>
      <c r="V132" s="2" t="s">
        <v>36</v>
      </c>
      <c r="W132" s="2" t="s">
        <v>37</v>
      </c>
      <c r="X132" s="4" t="s">
        <v>549</v>
      </c>
      <c r="Y132" s="4" t="s">
        <v>2501</v>
      </c>
      <c r="Z132" t="str">
        <f t="shared" si="12"/>
        <v>977061420004</v>
      </c>
      <c r="AA132" t="str">
        <f t="shared" si="13"/>
        <v>061420004</v>
      </c>
      <c r="AB132" t="str">
        <f t="shared" si="14"/>
        <v>61420004</v>
      </c>
      <c r="AC132" t="str">
        <f t="shared" si="15"/>
        <v>+97761420004</v>
      </c>
      <c r="AD132" t="str">
        <f t="shared" si="16"/>
        <v>Landline</v>
      </c>
      <c r="AE132" t="str">
        <f t="shared" si="17"/>
        <v>Valid</v>
      </c>
    </row>
    <row r="133" spans="1:31" x14ac:dyDescent="0.3">
      <c r="A133" s="2" t="s">
        <v>551</v>
      </c>
      <c r="B133" s="2" t="s">
        <v>552</v>
      </c>
      <c r="C133" s="2" t="s">
        <v>553</v>
      </c>
      <c r="D133" s="2" t="s">
        <v>355</v>
      </c>
      <c r="E133" s="2" t="s">
        <v>553</v>
      </c>
      <c r="F133" s="2" t="s">
        <v>553</v>
      </c>
      <c r="G133" s="5" t="str" cm="1">
        <f t="array" ref="G133">IFERROR(INDEX(City_Lookup!$B$2:$B$297,MATCH(TRUE,ISNUMBER(SEARCH(City_Lookup!$A$2:$A$297,$F133&amp;" "&amp;$E133)),0)),"Not Available")</f>
        <v>Kaski</v>
      </c>
      <c r="H133" s="5" t="str">
        <f>IFERROR(INDEX(City_Lookup!$E$2:$E$66,MATCH($G133,City_Lookup!$D$2:$D$66,0)),"Not Available")</f>
        <v>Gandaki</v>
      </c>
      <c r="I133" s="2" t="s">
        <v>28</v>
      </c>
      <c r="J133" s="2" t="s">
        <v>39</v>
      </c>
      <c r="K133" s="2"/>
      <c r="L133" s="2" t="s">
        <v>356</v>
      </c>
      <c r="M133" s="2" t="s">
        <v>356</v>
      </c>
      <c r="N133" s="2" t="s">
        <v>357</v>
      </c>
      <c r="O133" s="2">
        <v>1</v>
      </c>
      <c r="P133" s="2" t="s">
        <v>554</v>
      </c>
      <c r="Q133" s="2" t="s">
        <v>555</v>
      </c>
      <c r="R133" s="2" t="s">
        <v>33</v>
      </c>
      <c r="S133" s="2" t="s">
        <v>27</v>
      </c>
      <c r="T133" s="2" t="s">
        <v>34</v>
      </c>
      <c r="U133" s="2" t="s">
        <v>35</v>
      </c>
      <c r="V133" s="2" t="s">
        <v>36</v>
      </c>
      <c r="W133" s="2" t="s">
        <v>37</v>
      </c>
      <c r="X133" s="4" t="s">
        <v>554</v>
      </c>
      <c r="Y133" s="4" t="s">
        <v>2501</v>
      </c>
      <c r="Z133" t="str">
        <f t="shared" si="12"/>
        <v>977061460617</v>
      </c>
      <c r="AA133" t="str">
        <f t="shared" si="13"/>
        <v>061460617</v>
      </c>
      <c r="AB133" t="str">
        <f t="shared" si="14"/>
        <v>61460617</v>
      </c>
      <c r="AC133" t="str">
        <f t="shared" si="15"/>
        <v>+97761460617</v>
      </c>
      <c r="AD133" t="str">
        <f t="shared" si="16"/>
        <v>Landline</v>
      </c>
      <c r="AE133" t="str">
        <f t="shared" si="17"/>
        <v>Valid</v>
      </c>
    </row>
    <row r="134" spans="1:31" x14ac:dyDescent="0.3">
      <c r="A134" s="2" t="s">
        <v>556</v>
      </c>
      <c r="B134" s="2" t="s">
        <v>557</v>
      </c>
      <c r="C134" s="2" t="s">
        <v>558</v>
      </c>
      <c r="D134" s="2" t="s">
        <v>355</v>
      </c>
      <c r="E134" s="2" t="s">
        <v>558</v>
      </c>
      <c r="F134" s="2" t="s">
        <v>558</v>
      </c>
      <c r="G134" s="5" t="str" cm="1">
        <f t="array" ref="G134">IFERROR(INDEX(City_Lookup!$B$2:$B$297,MATCH(TRUE,ISNUMBER(SEARCH(City_Lookup!$A$2:$A$297,$F134&amp;" "&amp;$E134)),0)),"Not Available")</f>
        <v>Dhading</v>
      </c>
      <c r="H134" s="5" t="str">
        <f>IFERROR(INDEX(City_Lookup!$E$2:$E$66,MATCH($G134,City_Lookup!$D$2:$D$66,0)),"Not Available")</f>
        <v>Bagmati</v>
      </c>
      <c r="I134" s="2" t="s">
        <v>28</v>
      </c>
      <c r="J134" s="2" t="s">
        <v>39</v>
      </c>
      <c r="K134" s="2"/>
      <c r="L134" s="2" t="s">
        <v>356</v>
      </c>
      <c r="M134" s="2" t="s">
        <v>356</v>
      </c>
      <c r="N134" s="2" t="s">
        <v>357</v>
      </c>
      <c r="O134" s="2">
        <v>1</v>
      </c>
      <c r="P134" s="2" t="s">
        <v>559</v>
      </c>
      <c r="Q134" s="2" t="s">
        <v>560</v>
      </c>
      <c r="R134" s="2" t="s">
        <v>33</v>
      </c>
      <c r="S134" s="2" t="s">
        <v>27</v>
      </c>
      <c r="T134" s="2" t="s">
        <v>34</v>
      </c>
      <c r="U134" s="2" t="s">
        <v>35</v>
      </c>
      <c r="V134" s="2" t="s">
        <v>36</v>
      </c>
      <c r="W134" s="2" t="s">
        <v>37</v>
      </c>
      <c r="X134" s="4" t="s">
        <v>559</v>
      </c>
      <c r="Y134" s="4" t="s">
        <v>2501</v>
      </c>
      <c r="Z134" t="str">
        <f t="shared" si="12"/>
        <v>9779851340153</v>
      </c>
      <c r="AA134" t="str">
        <f t="shared" si="13"/>
        <v>9851340153</v>
      </c>
      <c r="AB134" t="str">
        <f t="shared" si="14"/>
        <v>9851340153</v>
      </c>
      <c r="AC134" t="str">
        <f t="shared" si="15"/>
        <v>+9779851340153</v>
      </c>
      <c r="AD134" t="str">
        <f t="shared" si="16"/>
        <v>Mobile</v>
      </c>
      <c r="AE134" t="str">
        <f t="shared" si="17"/>
        <v>Valid</v>
      </c>
    </row>
    <row r="135" spans="1:31" x14ac:dyDescent="0.3">
      <c r="A135" s="2" t="s">
        <v>561</v>
      </c>
      <c r="B135" s="2" t="s">
        <v>562</v>
      </c>
      <c r="C135" s="2" t="s">
        <v>563</v>
      </c>
      <c r="D135" s="2" t="s">
        <v>355</v>
      </c>
      <c r="E135" s="2" t="s">
        <v>563</v>
      </c>
      <c r="F135" s="2" t="s">
        <v>563</v>
      </c>
      <c r="G135" s="5" t="str" cm="1">
        <f t="array" ref="G135">IFERROR(INDEX(City_Lookup!$B$2:$B$297,MATCH(TRUE,ISNUMBER(SEARCH(City_Lookup!$A$2:$A$297,$F135&amp;" "&amp;$E135)),0)),"Not Available")</f>
        <v>Sunsari</v>
      </c>
      <c r="H135" s="5" t="str">
        <f>IFERROR(INDEX(City_Lookup!$E$2:$E$66,MATCH($G135,City_Lookup!$D$2:$D$66,0)),"Not Available")</f>
        <v>Koshi</v>
      </c>
      <c r="I135" s="2" t="s">
        <v>28</v>
      </c>
      <c r="J135" s="2" t="s">
        <v>39</v>
      </c>
      <c r="K135" s="2"/>
      <c r="L135" s="2" t="s">
        <v>356</v>
      </c>
      <c r="M135" s="2" t="s">
        <v>356</v>
      </c>
      <c r="N135" s="2" t="s">
        <v>357</v>
      </c>
      <c r="O135" s="2">
        <v>1</v>
      </c>
      <c r="P135" s="2" t="s">
        <v>529</v>
      </c>
      <c r="Q135" s="2" t="s">
        <v>564</v>
      </c>
      <c r="R135" s="2" t="s">
        <v>33</v>
      </c>
      <c r="S135" s="2" t="s">
        <v>27</v>
      </c>
      <c r="T135" s="2" t="s">
        <v>34</v>
      </c>
      <c r="U135" s="2" t="s">
        <v>35</v>
      </c>
      <c r="V135" s="2" t="s">
        <v>36</v>
      </c>
      <c r="W135" s="2" t="s">
        <v>37</v>
      </c>
      <c r="X135" s="4" t="s">
        <v>529</v>
      </c>
      <c r="Y135" s="4" t="s">
        <v>2501</v>
      </c>
      <c r="Z135" t="str">
        <f t="shared" si="12"/>
        <v>977025587502</v>
      </c>
      <c r="AA135" t="str">
        <f t="shared" si="13"/>
        <v>025587502</v>
      </c>
      <c r="AB135" t="str">
        <f t="shared" si="14"/>
        <v>25587502</v>
      </c>
      <c r="AC135" t="str">
        <f t="shared" si="15"/>
        <v>+97725587502</v>
      </c>
      <c r="AD135" t="str">
        <f t="shared" si="16"/>
        <v>Landline</v>
      </c>
      <c r="AE135" t="str">
        <f t="shared" si="17"/>
        <v>Valid</v>
      </c>
    </row>
    <row r="136" spans="1:31" x14ac:dyDescent="0.3">
      <c r="A136" s="2" t="s">
        <v>565</v>
      </c>
      <c r="B136" s="2" t="s">
        <v>566</v>
      </c>
      <c r="C136" s="2" t="s">
        <v>567</v>
      </c>
      <c r="D136" s="2" t="s">
        <v>355</v>
      </c>
      <c r="E136" s="2" t="s">
        <v>567</v>
      </c>
      <c r="F136" s="2" t="s">
        <v>567</v>
      </c>
      <c r="G136" s="5" t="str" cm="1">
        <f t="array" ref="G136">IFERROR(INDEX(City_Lookup!$B$2:$B$297,MATCH(TRUE,ISNUMBER(SEARCH(City_Lookup!$A$2:$A$297,$F136&amp;" "&amp;$E136)),0)),"Not Available")</f>
        <v>Jhapa</v>
      </c>
      <c r="H136" s="5" t="str">
        <f>IFERROR(INDEX(City_Lookup!$E$2:$E$66,MATCH($G136,City_Lookup!$D$2:$D$66,0)),"Not Available")</f>
        <v>Koshi</v>
      </c>
      <c r="I136" s="2" t="s">
        <v>28</v>
      </c>
      <c r="J136" s="2" t="s">
        <v>39</v>
      </c>
      <c r="K136" s="2"/>
      <c r="L136" s="2" t="s">
        <v>356</v>
      </c>
      <c r="M136" s="2" t="s">
        <v>356</v>
      </c>
      <c r="N136" s="2" t="s">
        <v>357</v>
      </c>
      <c r="O136" s="2">
        <v>1</v>
      </c>
      <c r="P136" s="2" t="s">
        <v>568</v>
      </c>
      <c r="Q136" s="2" t="s">
        <v>569</v>
      </c>
      <c r="R136" s="2" t="s">
        <v>33</v>
      </c>
      <c r="S136" s="2" t="s">
        <v>27</v>
      </c>
      <c r="T136" s="2" t="s">
        <v>34</v>
      </c>
      <c r="U136" s="2" t="s">
        <v>35</v>
      </c>
      <c r="V136" s="2" t="s">
        <v>36</v>
      </c>
      <c r="W136" s="2" t="s">
        <v>37</v>
      </c>
      <c r="X136" s="4" t="s">
        <v>568</v>
      </c>
      <c r="Y136" s="4" t="s">
        <v>2501</v>
      </c>
      <c r="Z136" t="str">
        <f t="shared" si="12"/>
        <v>9779717216222</v>
      </c>
      <c r="AA136" t="str">
        <f t="shared" si="13"/>
        <v>9717216222</v>
      </c>
      <c r="AB136" t="str">
        <f t="shared" si="14"/>
        <v>9717216222</v>
      </c>
      <c r="AC136" t="str">
        <f t="shared" si="15"/>
        <v>+9779717216222</v>
      </c>
      <c r="AD136" t="str">
        <f t="shared" si="16"/>
        <v>Mobile</v>
      </c>
      <c r="AE136" t="str">
        <f t="shared" si="17"/>
        <v>Valid</v>
      </c>
    </row>
    <row r="137" spans="1:31" x14ac:dyDescent="0.3">
      <c r="A137" s="2" t="s">
        <v>570</v>
      </c>
      <c r="B137" s="2" t="s">
        <v>571</v>
      </c>
      <c r="C137" s="2" t="s">
        <v>572</v>
      </c>
      <c r="D137" s="2" t="s">
        <v>355</v>
      </c>
      <c r="E137" s="2" t="s">
        <v>572</v>
      </c>
      <c r="F137" s="2" t="s">
        <v>572</v>
      </c>
      <c r="G137" s="5" t="str" cm="1">
        <f t="array" ref="G137">IFERROR(INDEX(City_Lookup!$B$2:$B$297,MATCH(TRUE,ISNUMBER(SEARCH(City_Lookup!$A$2:$A$297,$F137&amp;" "&amp;$E137)),0)),"Not Available")</f>
        <v>Kaski</v>
      </c>
      <c r="H137" s="5" t="str">
        <f>IFERROR(INDEX(City_Lookup!$E$2:$E$66,MATCH($G137,City_Lookup!$D$2:$D$66,0)),"Not Available")</f>
        <v>Gandaki</v>
      </c>
      <c r="I137" s="2" t="s">
        <v>28</v>
      </c>
      <c r="J137" s="2" t="s">
        <v>39</v>
      </c>
      <c r="K137" s="2"/>
      <c r="L137" s="2" t="s">
        <v>356</v>
      </c>
      <c r="M137" s="2" t="s">
        <v>356</v>
      </c>
      <c r="N137" s="2" t="s">
        <v>357</v>
      </c>
      <c r="O137" s="2">
        <v>1</v>
      </c>
      <c r="P137" s="2" t="s">
        <v>573</v>
      </c>
      <c r="Q137" s="2" t="s">
        <v>574</v>
      </c>
      <c r="R137" s="2" t="s">
        <v>33</v>
      </c>
      <c r="S137" s="2" t="s">
        <v>27</v>
      </c>
      <c r="T137" s="2" t="s">
        <v>34</v>
      </c>
      <c r="U137" s="2" t="s">
        <v>35</v>
      </c>
      <c r="V137" s="2" t="s">
        <v>36</v>
      </c>
      <c r="W137" s="2" t="s">
        <v>37</v>
      </c>
      <c r="X137" s="4" t="s">
        <v>573</v>
      </c>
      <c r="Y137" s="4" t="s">
        <v>2501</v>
      </c>
      <c r="Z137" t="str">
        <f t="shared" si="12"/>
        <v>977061590735</v>
      </c>
      <c r="AA137" t="str">
        <f t="shared" si="13"/>
        <v>061590735</v>
      </c>
      <c r="AB137" t="str">
        <f t="shared" si="14"/>
        <v>61590735</v>
      </c>
      <c r="AC137" t="str">
        <f t="shared" si="15"/>
        <v>+97761590735</v>
      </c>
      <c r="AD137" t="str">
        <f t="shared" si="16"/>
        <v>Landline</v>
      </c>
      <c r="AE137" t="str">
        <f t="shared" si="17"/>
        <v>Valid</v>
      </c>
    </row>
    <row r="138" spans="1:31" x14ac:dyDescent="0.3">
      <c r="A138" s="2" t="s">
        <v>575</v>
      </c>
      <c r="B138" s="2" t="s">
        <v>576</v>
      </c>
      <c r="C138" s="2" t="s">
        <v>577</v>
      </c>
      <c r="D138" s="2" t="s">
        <v>578</v>
      </c>
      <c r="E138" s="2" t="s">
        <v>577</v>
      </c>
      <c r="F138" s="2" t="s">
        <v>577</v>
      </c>
      <c r="G138" s="5" t="str" cm="1">
        <f t="array" ref="G138">IFERROR(INDEX(City_Lookup!$B$2:$B$297,MATCH(TRUE,ISNUMBER(SEARCH(City_Lookup!$A$2:$A$297,$F138&amp;" "&amp;$E138)),0)),"Not Available")</f>
        <v>Rupandehi</v>
      </c>
      <c r="H138" s="5" t="str">
        <f>IFERROR(INDEX(City_Lookup!$E$2:$E$66,MATCH($G138,City_Lookup!$D$2:$D$66,0)),"Not Available")</f>
        <v>Lumbini</v>
      </c>
      <c r="I138" s="2" t="s">
        <v>28</v>
      </c>
      <c r="J138" s="2" t="s">
        <v>29</v>
      </c>
      <c r="K138" s="2" t="s">
        <v>250</v>
      </c>
      <c r="L138" s="2"/>
      <c r="M138" s="2" t="s">
        <v>250</v>
      </c>
      <c r="N138" s="2" t="s">
        <v>251</v>
      </c>
      <c r="O138" s="2">
        <v>1</v>
      </c>
      <c r="P138" s="2" t="s">
        <v>579</v>
      </c>
      <c r="Q138" s="2" t="s">
        <v>580</v>
      </c>
      <c r="R138" s="2" t="s">
        <v>33</v>
      </c>
      <c r="S138" s="2" t="s">
        <v>27</v>
      </c>
      <c r="T138" s="2" t="s">
        <v>34</v>
      </c>
      <c r="U138" s="2" t="s">
        <v>35</v>
      </c>
      <c r="V138" s="2" t="s">
        <v>36</v>
      </c>
      <c r="W138" s="2" t="s">
        <v>37</v>
      </c>
      <c r="X138" s="4" t="s">
        <v>579</v>
      </c>
      <c r="Y138" s="4" t="s">
        <v>2501</v>
      </c>
      <c r="Z138" t="str">
        <f t="shared" si="12"/>
        <v>9779851151478</v>
      </c>
      <c r="AA138" t="str">
        <f t="shared" si="13"/>
        <v>9851151478</v>
      </c>
      <c r="AB138" t="str">
        <f t="shared" si="14"/>
        <v>9851151478</v>
      </c>
      <c r="AC138" t="str">
        <f t="shared" si="15"/>
        <v>+9779851151478</v>
      </c>
      <c r="AD138" t="str">
        <f t="shared" si="16"/>
        <v>Mobile</v>
      </c>
      <c r="AE138" t="str">
        <f t="shared" si="17"/>
        <v>Valid</v>
      </c>
    </row>
    <row r="139" spans="1:31" x14ac:dyDescent="0.3">
      <c r="A139" s="2" t="s">
        <v>581</v>
      </c>
      <c r="B139" s="2" t="s">
        <v>582</v>
      </c>
      <c r="C139" s="2" t="s">
        <v>583</v>
      </c>
      <c r="D139" s="2" t="s">
        <v>578</v>
      </c>
      <c r="E139" s="2" t="s">
        <v>583</v>
      </c>
      <c r="F139" s="2" t="s">
        <v>583</v>
      </c>
      <c r="G139" s="5" t="str" cm="1">
        <f t="array" ref="G139">IFERROR(INDEX(City_Lookup!$B$2:$B$297,MATCH(TRUE,ISNUMBER(SEARCH(City_Lookup!$A$2:$A$297,$F139&amp;" "&amp;$E139)),0)),"Not Available")</f>
        <v>Rupandehi</v>
      </c>
      <c r="H139" s="5" t="str">
        <f>IFERROR(INDEX(City_Lookup!$E$2:$E$66,MATCH($G139,City_Lookup!$D$2:$D$66,0)),"Not Available")</f>
        <v>Lumbini</v>
      </c>
      <c r="I139" s="2" t="s">
        <v>28</v>
      </c>
      <c r="J139" s="2" t="s">
        <v>29</v>
      </c>
      <c r="K139" s="2" t="s">
        <v>250</v>
      </c>
      <c r="L139" s="2"/>
      <c r="M139" s="2" t="s">
        <v>250</v>
      </c>
      <c r="N139" s="2" t="s">
        <v>251</v>
      </c>
      <c r="O139" s="2">
        <v>1</v>
      </c>
      <c r="P139" s="2" t="s">
        <v>584</v>
      </c>
      <c r="Q139" s="2" t="s">
        <v>585</v>
      </c>
      <c r="R139" s="2" t="s">
        <v>33</v>
      </c>
      <c r="S139" s="2" t="s">
        <v>27</v>
      </c>
      <c r="T139" s="2" t="s">
        <v>34</v>
      </c>
      <c r="U139" s="2" t="s">
        <v>35</v>
      </c>
      <c r="V139" s="2" t="s">
        <v>36</v>
      </c>
      <c r="W139" s="2" t="s">
        <v>37</v>
      </c>
      <c r="X139" s="4" t="s">
        <v>584</v>
      </c>
      <c r="Y139" s="4" t="s">
        <v>2501</v>
      </c>
      <c r="Z139" t="str">
        <f t="shared" si="12"/>
        <v>9779851088440</v>
      </c>
      <c r="AA139" t="str">
        <f t="shared" si="13"/>
        <v>9851088440</v>
      </c>
      <c r="AB139" t="str">
        <f t="shared" si="14"/>
        <v>9851088440</v>
      </c>
      <c r="AC139" t="str">
        <f t="shared" si="15"/>
        <v>+9779851088440</v>
      </c>
      <c r="AD139" t="str">
        <f t="shared" si="16"/>
        <v>Mobile</v>
      </c>
      <c r="AE139" t="str">
        <f t="shared" si="17"/>
        <v>Valid</v>
      </c>
    </row>
    <row r="140" spans="1:31" x14ac:dyDescent="0.3">
      <c r="A140" s="2" t="s">
        <v>586</v>
      </c>
      <c r="B140" s="2" t="s">
        <v>587</v>
      </c>
      <c r="C140" s="2" t="s">
        <v>588</v>
      </c>
      <c r="D140" s="2" t="s">
        <v>578</v>
      </c>
      <c r="E140" s="2" t="s">
        <v>588</v>
      </c>
      <c r="F140" s="2" t="s">
        <v>588</v>
      </c>
      <c r="G140" s="5" t="str" cm="1">
        <f t="array" ref="G140">IFERROR(INDEX(City_Lookup!$B$2:$B$297,MATCH(TRUE,ISNUMBER(SEARCH(City_Lookup!$A$2:$A$297,$F140&amp;" "&amp;$E140)),0)),"Not Available")</f>
        <v>Kaski</v>
      </c>
      <c r="H140" s="5" t="str">
        <f>IFERROR(INDEX(City_Lookup!$E$2:$E$66,MATCH($G140,City_Lookup!$D$2:$D$66,0)),"Not Available")</f>
        <v>Gandaki</v>
      </c>
      <c r="I140" s="2" t="s">
        <v>28</v>
      </c>
      <c r="J140" s="2" t="s">
        <v>29</v>
      </c>
      <c r="K140" s="2" t="s">
        <v>250</v>
      </c>
      <c r="L140" s="2"/>
      <c r="M140" s="2" t="s">
        <v>250</v>
      </c>
      <c r="N140" s="2" t="s">
        <v>251</v>
      </c>
      <c r="O140" s="2">
        <v>1</v>
      </c>
      <c r="P140" s="2" t="s">
        <v>589</v>
      </c>
      <c r="Q140" s="2" t="s">
        <v>590</v>
      </c>
      <c r="R140" s="2" t="s">
        <v>33</v>
      </c>
      <c r="S140" s="2" t="s">
        <v>27</v>
      </c>
      <c r="T140" s="2" t="s">
        <v>34</v>
      </c>
      <c r="U140" s="2" t="s">
        <v>35</v>
      </c>
      <c r="V140" s="2" t="s">
        <v>36</v>
      </c>
      <c r="W140" s="2" t="s">
        <v>37</v>
      </c>
      <c r="X140" s="4" t="s">
        <v>589</v>
      </c>
      <c r="Y140" s="4" t="s">
        <v>2501</v>
      </c>
      <c r="Z140" t="str">
        <f t="shared" si="12"/>
        <v>977061538499</v>
      </c>
      <c r="AA140" t="str">
        <f t="shared" si="13"/>
        <v>061538499</v>
      </c>
      <c r="AB140" t="str">
        <f t="shared" si="14"/>
        <v>61538499</v>
      </c>
      <c r="AC140" t="str">
        <f t="shared" si="15"/>
        <v>+97761538499</v>
      </c>
      <c r="AD140" t="str">
        <f t="shared" si="16"/>
        <v>Landline</v>
      </c>
      <c r="AE140" t="str">
        <f t="shared" si="17"/>
        <v>Valid</v>
      </c>
    </row>
    <row r="141" spans="1:31" x14ac:dyDescent="0.3">
      <c r="A141" s="2" t="s">
        <v>591</v>
      </c>
      <c r="B141" s="2" t="s">
        <v>592</v>
      </c>
      <c r="C141" s="2" t="s">
        <v>593</v>
      </c>
      <c r="D141" s="2" t="s">
        <v>578</v>
      </c>
      <c r="E141" s="2" t="s">
        <v>593</v>
      </c>
      <c r="F141" s="2" t="s">
        <v>593</v>
      </c>
      <c r="G141" s="5" t="str" cm="1">
        <f t="array" ref="G141">IFERROR(INDEX(City_Lookup!$B$2:$B$297,MATCH(TRUE,ISNUMBER(SEARCH(City_Lookup!$A$2:$A$297,$F141&amp;" "&amp;$E141)),0)),"Not Available")</f>
        <v>Sunsari</v>
      </c>
      <c r="H141" s="5" t="str">
        <f>IFERROR(INDEX(City_Lookup!$E$2:$E$66,MATCH($G141,City_Lookup!$D$2:$D$66,0)),"Not Available")</f>
        <v>Koshi</v>
      </c>
      <c r="I141" s="2" t="s">
        <v>28</v>
      </c>
      <c r="J141" s="2" t="s">
        <v>29</v>
      </c>
      <c r="K141" s="2" t="s">
        <v>250</v>
      </c>
      <c r="L141" s="2"/>
      <c r="M141" s="2" t="s">
        <v>250</v>
      </c>
      <c r="N141" s="2" t="s">
        <v>251</v>
      </c>
      <c r="O141" s="2">
        <v>1</v>
      </c>
      <c r="P141" s="2" t="s">
        <v>27</v>
      </c>
      <c r="Q141" s="2" t="s">
        <v>594</v>
      </c>
      <c r="R141" s="2" t="s">
        <v>33</v>
      </c>
      <c r="S141" s="2" t="s">
        <v>27</v>
      </c>
      <c r="T141" s="2" t="s">
        <v>34</v>
      </c>
      <c r="U141" s="2" t="s">
        <v>35</v>
      </c>
      <c r="V141" s="2" t="s">
        <v>36</v>
      </c>
      <c r="W141" s="2" t="s">
        <v>37</v>
      </c>
      <c r="X141" s="4" t="s">
        <v>2488</v>
      </c>
      <c r="Y141" s="4" t="s">
        <v>2500</v>
      </c>
      <c r="Z141" t="str">
        <f t="shared" si="12"/>
        <v>97714230340</v>
      </c>
      <c r="AA141" t="str">
        <f t="shared" si="13"/>
        <v>14230340</v>
      </c>
      <c r="AB141" t="str">
        <f t="shared" si="14"/>
        <v>14230340</v>
      </c>
      <c r="AC141" t="str">
        <f t="shared" si="15"/>
        <v>+97714230340</v>
      </c>
      <c r="AD141" t="str">
        <f t="shared" si="16"/>
        <v>Landline</v>
      </c>
      <c r="AE141" t="str">
        <f t="shared" si="17"/>
        <v>Valid</v>
      </c>
    </row>
    <row r="142" spans="1:31" x14ac:dyDescent="0.3">
      <c r="A142" s="2" t="s">
        <v>595</v>
      </c>
      <c r="B142" s="2" t="s">
        <v>596</v>
      </c>
      <c r="C142" s="2" t="s">
        <v>597</v>
      </c>
      <c r="D142" s="2" t="s">
        <v>578</v>
      </c>
      <c r="E142" s="2" t="s">
        <v>597</v>
      </c>
      <c r="F142" s="2" t="s">
        <v>597</v>
      </c>
      <c r="G142" s="5" t="str" cm="1">
        <f t="array" ref="G142">IFERROR(INDEX(City_Lookup!$B$2:$B$297,MATCH(TRUE,ISNUMBER(SEARCH(City_Lookup!$A$2:$A$297,$F142&amp;" "&amp;$E142)),0)),"Not Available")</f>
        <v>Jhapa</v>
      </c>
      <c r="H142" s="5" t="str">
        <f>IFERROR(INDEX(City_Lookup!$E$2:$E$66,MATCH($G142,City_Lookup!$D$2:$D$66,0)),"Not Available")</f>
        <v>Koshi</v>
      </c>
      <c r="I142" s="2" t="s">
        <v>28</v>
      </c>
      <c r="J142" s="2" t="s">
        <v>29</v>
      </c>
      <c r="K142" s="2" t="s">
        <v>250</v>
      </c>
      <c r="L142" s="2"/>
      <c r="M142" s="2" t="s">
        <v>250</v>
      </c>
      <c r="N142" s="2" t="s">
        <v>251</v>
      </c>
      <c r="O142" s="2">
        <v>1</v>
      </c>
      <c r="P142" s="2" t="s">
        <v>598</v>
      </c>
      <c r="Q142" s="2" t="s">
        <v>599</v>
      </c>
      <c r="R142" s="2" t="s">
        <v>33</v>
      </c>
      <c r="S142" s="2" t="s">
        <v>27</v>
      </c>
      <c r="T142" s="2" t="s">
        <v>34</v>
      </c>
      <c r="U142" s="2" t="s">
        <v>35</v>
      </c>
      <c r="V142" s="2" t="s">
        <v>36</v>
      </c>
      <c r="W142" s="2" t="s">
        <v>37</v>
      </c>
      <c r="X142" s="4" t="s">
        <v>598</v>
      </c>
      <c r="Y142" s="4" t="s">
        <v>2501</v>
      </c>
      <c r="Z142" t="str">
        <f t="shared" si="12"/>
        <v>977023460037</v>
      </c>
      <c r="AA142" t="str">
        <f t="shared" si="13"/>
        <v>023460037</v>
      </c>
      <c r="AB142" t="str">
        <f t="shared" si="14"/>
        <v>23460037</v>
      </c>
      <c r="AC142" t="str">
        <f t="shared" si="15"/>
        <v>+97723460037</v>
      </c>
      <c r="AD142" t="str">
        <f t="shared" si="16"/>
        <v>Landline</v>
      </c>
      <c r="AE142" t="str">
        <f t="shared" si="17"/>
        <v>Valid</v>
      </c>
    </row>
    <row r="143" spans="1:31" x14ac:dyDescent="0.3">
      <c r="A143" s="2" t="s">
        <v>600</v>
      </c>
      <c r="B143" s="2" t="s">
        <v>601</v>
      </c>
      <c r="C143" s="2" t="s">
        <v>602</v>
      </c>
      <c r="D143" s="2" t="s">
        <v>578</v>
      </c>
      <c r="E143" s="2" t="s">
        <v>602</v>
      </c>
      <c r="F143" s="2" t="s">
        <v>602</v>
      </c>
      <c r="G143" s="5" t="str" cm="1">
        <f t="array" ref="G143">IFERROR(INDEX(City_Lookup!$B$2:$B$297,MATCH(TRUE,ISNUMBER(SEARCH(City_Lookup!$A$2:$A$297,$F143&amp;" "&amp;$E143)),0)),"Not Available")</f>
        <v>Rupandehi</v>
      </c>
      <c r="H143" s="5" t="str">
        <f>IFERROR(INDEX(City_Lookup!$E$2:$E$66,MATCH($G143,City_Lookup!$D$2:$D$66,0)),"Not Available")</f>
        <v>Lumbini</v>
      </c>
      <c r="I143" s="2" t="s">
        <v>28</v>
      </c>
      <c r="J143" s="2" t="s">
        <v>29</v>
      </c>
      <c r="K143" s="2" t="s">
        <v>250</v>
      </c>
      <c r="L143" s="2"/>
      <c r="M143" s="2" t="s">
        <v>250</v>
      </c>
      <c r="N143" s="2" t="s">
        <v>251</v>
      </c>
      <c r="O143" s="2">
        <v>1</v>
      </c>
      <c r="P143" s="2" t="s">
        <v>603</v>
      </c>
      <c r="Q143" s="2" t="s">
        <v>604</v>
      </c>
      <c r="R143" s="2" t="s">
        <v>33</v>
      </c>
      <c r="S143" s="2" t="s">
        <v>27</v>
      </c>
      <c r="T143" s="2" t="s">
        <v>34</v>
      </c>
      <c r="U143" s="2" t="s">
        <v>35</v>
      </c>
      <c r="V143" s="2" t="s">
        <v>36</v>
      </c>
      <c r="W143" s="2" t="s">
        <v>37</v>
      </c>
      <c r="X143" s="4" t="s">
        <v>603</v>
      </c>
      <c r="Y143" s="4" t="s">
        <v>2501</v>
      </c>
      <c r="Z143" t="str">
        <f t="shared" si="12"/>
        <v>9779801089801</v>
      </c>
      <c r="AA143" t="str">
        <f t="shared" si="13"/>
        <v>9801089801</v>
      </c>
      <c r="AB143" t="str">
        <f t="shared" si="14"/>
        <v>9801089801</v>
      </c>
      <c r="AC143" t="str">
        <f t="shared" si="15"/>
        <v>+9779801089801</v>
      </c>
      <c r="AD143" t="str">
        <f t="shared" si="16"/>
        <v>Mobile</v>
      </c>
      <c r="AE143" t="str">
        <f t="shared" si="17"/>
        <v>Valid</v>
      </c>
    </row>
    <row r="144" spans="1:31" x14ac:dyDescent="0.3">
      <c r="A144" s="2" t="s">
        <v>605</v>
      </c>
      <c r="B144" s="2" t="s">
        <v>606</v>
      </c>
      <c r="C144" s="2" t="s">
        <v>607</v>
      </c>
      <c r="D144" s="2" t="s">
        <v>578</v>
      </c>
      <c r="E144" s="2" t="s">
        <v>607</v>
      </c>
      <c r="F144" s="2" t="s">
        <v>607</v>
      </c>
      <c r="G144" s="5" t="str" cm="1">
        <f t="array" ref="G144">IFERROR(INDEX(City_Lookup!$B$2:$B$297,MATCH(TRUE,ISNUMBER(SEARCH(City_Lookup!$A$2:$A$297,$F144&amp;" "&amp;$E144)),0)),"Not Available")</f>
        <v>Bara</v>
      </c>
      <c r="H144" s="5" t="str">
        <f>IFERROR(INDEX(City_Lookup!$E$2:$E$66,MATCH($G144,City_Lookup!$D$2:$D$66,0)),"Not Available")</f>
        <v>Madhesh</v>
      </c>
      <c r="I144" s="2" t="s">
        <v>28</v>
      </c>
      <c r="J144" s="2" t="s">
        <v>29</v>
      </c>
      <c r="K144" s="2" t="s">
        <v>250</v>
      </c>
      <c r="L144" s="2"/>
      <c r="M144" s="2" t="s">
        <v>250</v>
      </c>
      <c r="N144" s="2" t="s">
        <v>251</v>
      </c>
      <c r="O144" s="2">
        <v>1</v>
      </c>
      <c r="P144" s="2" t="s">
        <v>27</v>
      </c>
      <c r="Q144" s="2" t="s">
        <v>608</v>
      </c>
      <c r="R144" s="2" t="s">
        <v>33</v>
      </c>
      <c r="S144" s="2" t="s">
        <v>27</v>
      </c>
      <c r="T144" s="2" t="s">
        <v>34</v>
      </c>
      <c r="U144" s="2" t="s">
        <v>35</v>
      </c>
      <c r="V144" s="2" t="s">
        <v>36</v>
      </c>
      <c r="W144" s="2" t="s">
        <v>37</v>
      </c>
      <c r="X144" s="4" t="s">
        <v>2488</v>
      </c>
      <c r="Y144" s="4" t="s">
        <v>2500</v>
      </c>
      <c r="Z144" t="str">
        <f t="shared" si="12"/>
        <v>97714230340</v>
      </c>
      <c r="AA144" t="str">
        <f t="shared" si="13"/>
        <v>14230340</v>
      </c>
      <c r="AB144" t="str">
        <f t="shared" si="14"/>
        <v>14230340</v>
      </c>
      <c r="AC144" t="str">
        <f t="shared" si="15"/>
        <v>+97714230340</v>
      </c>
      <c r="AD144" t="str">
        <f t="shared" si="16"/>
        <v>Landline</v>
      </c>
      <c r="AE144" t="str">
        <f t="shared" si="17"/>
        <v>Valid</v>
      </c>
    </row>
    <row r="145" spans="1:31" x14ac:dyDescent="0.3">
      <c r="A145" s="2" t="s">
        <v>609</v>
      </c>
      <c r="B145" s="2" t="s">
        <v>610</v>
      </c>
      <c r="C145" s="2" t="s">
        <v>611</v>
      </c>
      <c r="D145" s="2" t="s">
        <v>578</v>
      </c>
      <c r="E145" s="2" t="s">
        <v>611</v>
      </c>
      <c r="F145" s="2" t="s">
        <v>611</v>
      </c>
      <c r="G145" s="5" t="str" cm="1">
        <f t="array" ref="G145">IFERROR(INDEX(City_Lookup!$B$2:$B$297,MATCH(TRUE,ISNUMBER(SEARCH(City_Lookup!$A$2:$A$297,$F145&amp;" "&amp;$E145)),0)),"Not Available")</f>
        <v>Makwanpur</v>
      </c>
      <c r="H145" s="5" t="str">
        <f>IFERROR(INDEX(City_Lookup!$E$2:$E$66,MATCH($G145,City_Lookup!$D$2:$D$66,0)),"Not Available")</f>
        <v>Bagmati</v>
      </c>
      <c r="I145" s="2" t="s">
        <v>28</v>
      </c>
      <c r="J145" s="2" t="s">
        <v>29</v>
      </c>
      <c r="K145" s="2" t="s">
        <v>250</v>
      </c>
      <c r="L145" s="2"/>
      <c r="M145" s="2" t="s">
        <v>250</v>
      </c>
      <c r="N145" s="2" t="s">
        <v>251</v>
      </c>
      <c r="O145" s="2">
        <v>1</v>
      </c>
      <c r="P145" s="2" t="s">
        <v>612</v>
      </c>
      <c r="Q145" s="2" t="s">
        <v>613</v>
      </c>
      <c r="R145" s="2" t="s">
        <v>33</v>
      </c>
      <c r="S145" s="2" t="s">
        <v>27</v>
      </c>
      <c r="T145" s="2" t="s">
        <v>34</v>
      </c>
      <c r="U145" s="2" t="s">
        <v>35</v>
      </c>
      <c r="V145" s="2" t="s">
        <v>36</v>
      </c>
      <c r="W145" s="2" t="s">
        <v>37</v>
      </c>
      <c r="X145" s="4" t="s">
        <v>612</v>
      </c>
      <c r="Y145" s="4" t="s">
        <v>2501</v>
      </c>
      <c r="Z145" t="str">
        <f t="shared" si="12"/>
        <v>9779801909862</v>
      </c>
      <c r="AA145" t="str">
        <f t="shared" si="13"/>
        <v>9801909862</v>
      </c>
      <c r="AB145" t="str">
        <f t="shared" si="14"/>
        <v>9801909862</v>
      </c>
      <c r="AC145" t="str">
        <f t="shared" si="15"/>
        <v>+9779801909862</v>
      </c>
      <c r="AD145" t="str">
        <f t="shared" si="16"/>
        <v>Mobile</v>
      </c>
      <c r="AE145" t="str">
        <f t="shared" si="17"/>
        <v>Valid</v>
      </c>
    </row>
    <row r="146" spans="1:31" x14ac:dyDescent="0.3">
      <c r="A146" s="2" t="s">
        <v>614</v>
      </c>
      <c r="B146" s="2" t="s">
        <v>615</v>
      </c>
      <c r="C146" s="2" t="s">
        <v>616</v>
      </c>
      <c r="D146" s="2" t="s">
        <v>578</v>
      </c>
      <c r="E146" s="2" t="s">
        <v>616</v>
      </c>
      <c r="F146" s="2" t="s">
        <v>616</v>
      </c>
      <c r="G146" s="5" t="str" cm="1">
        <f t="array" ref="G146">IFERROR(INDEX(City_Lookup!$B$2:$B$297,MATCH(TRUE,ISNUMBER(SEARCH(City_Lookup!$A$2:$A$297,$F146&amp;" "&amp;$E146)),0)),"Not Available")</f>
        <v>Chitwan</v>
      </c>
      <c r="H146" s="5" t="str">
        <f>IFERROR(INDEX(City_Lookup!$E$2:$E$66,MATCH($G146,City_Lookup!$D$2:$D$66,0)),"Not Available")</f>
        <v>Bagmati</v>
      </c>
      <c r="I146" s="2" t="s">
        <v>28</v>
      </c>
      <c r="J146" s="2" t="s">
        <v>29</v>
      </c>
      <c r="K146" s="2" t="s">
        <v>250</v>
      </c>
      <c r="L146" s="2"/>
      <c r="M146" s="2" t="s">
        <v>250</v>
      </c>
      <c r="N146" s="2" t="s">
        <v>251</v>
      </c>
      <c r="O146" s="2">
        <v>1</v>
      </c>
      <c r="P146" s="2" t="s">
        <v>27</v>
      </c>
      <c r="Q146" s="2" t="s">
        <v>617</v>
      </c>
      <c r="R146" s="2" t="s">
        <v>33</v>
      </c>
      <c r="S146" s="2" t="s">
        <v>27</v>
      </c>
      <c r="T146" s="2" t="s">
        <v>34</v>
      </c>
      <c r="U146" s="2" t="s">
        <v>35</v>
      </c>
      <c r="V146" s="2" t="s">
        <v>36</v>
      </c>
      <c r="W146" s="2" t="s">
        <v>37</v>
      </c>
      <c r="X146" s="4" t="s">
        <v>2488</v>
      </c>
      <c r="Y146" s="4" t="s">
        <v>2500</v>
      </c>
      <c r="Z146" t="str">
        <f t="shared" si="12"/>
        <v>97714230340</v>
      </c>
      <c r="AA146" t="str">
        <f t="shared" si="13"/>
        <v>14230340</v>
      </c>
      <c r="AB146" t="str">
        <f t="shared" si="14"/>
        <v>14230340</v>
      </c>
      <c r="AC146" t="str">
        <f t="shared" si="15"/>
        <v>+97714230340</v>
      </c>
      <c r="AD146" t="str">
        <f t="shared" si="16"/>
        <v>Landline</v>
      </c>
      <c r="AE146" t="str">
        <f t="shared" si="17"/>
        <v>Valid</v>
      </c>
    </row>
    <row r="147" spans="1:31" x14ac:dyDescent="0.3">
      <c r="A147" s="2" t="s">
        <v>618</v>
      </c>
      <c r="B147" s="2" t="s">
        <v>619</v>
      </c>
      <c r="C147" s="2" t="s">
        <v>620</v>
      </c>
      <c r="D147" s="2" t="s">
        <v>578</v>
      </c>
      <c r="E147" s="2" t="s">
        <v>620</v>
      </c>
      <c r="F147" s="2" t="s">
        <v>620</v>
      </c>
      <c r="G147" s="5" t="str" cm="1">
        <f t="array" ref="G147">IFERROR(INDEX(City_Lookup!$B$2:$B$297,MATCH(TRUE,ISNUMBER(SEARCH(City_Lookup!$A$2:$A$297,$F147&amp;" "&amp;$E147)),0)),"Not Available")</f>
        <v>Rupandehi</v>
      </c>
      <c r="H147" s="5" t="str">
        <f>IFERROR(INDEX(City_Lookup!$E$2:$E$66,MATCH($G147,City_Lookup!$D$2:$D$66,0)),"Not Available")</f>
        <v>Lumbini</v>
      </c>
      <c r="I147" s="2" t="s">
        <v>28</v>
      </c>
      <c r="J147" s="2" t="s">
        <v>29</v>
      </c>
      <c r="K147" s="2" t="s">
        <v>250</v>
      </c>
      <c r="L147" s="2"/>
      <c r="M147" s="2" t="s">
        <v>250</v>
      </c>
      <c r="N147" s="2" t="s">
        <v>251</v>
      </c>
      <c r="O147" s="2">
        <v>1</v>
      </c>
      <c r="P147" s="2" t="s">
        <v>621</v>
      </c>
      <c r="Q147" s="2" t="s">
        <v>622</v>
      </c>
      <c r="R147" s="2" t="s">
        <v>33</v>
      </c>
      <c r="S147" s="2" t="s">
        <v>27</v>
      </c>
      <c r="T147" s="2" t="s">
        <v>34</v>
      </c>
      <c r="U147" s="2" t="s">
        <v>35</v>
      </c>
      <c r="V147" s="2" t="s">
        <v>36</v>
      </c>
      <c r="W147" s="2" t="s">
        <v>37</v>
      </c>
      <c r="X147" s="4" t="s">
        <v>621</v>
      </c>
      <c r="Y147" s="4" t="s">
        <v>2501</v>
      </c>
      <c r="Z147" t="str">
        <f t="shared" si="12"/>
        <v>977071561033</v>
      </c>
      <c r="AA147" t="str">
        <f t="shared" si="13"/>
        <v>071561033</v>
      </c>
      <c r="AB147" t="str">
        <f t="shared" si="14"/>
        <v>71561033</v>
      </c>
      <c r="AC147" t="str">
        <f t="shared" si="15"/>
        <v>+97771561033</v>
      </c>
      <c r="AD147" t="str">
        <f t="shared" si="16"/>
        <v>Landline</v>
      </c>
      <c r="AE147" t="str">
        <f t="shared" si="17"/>
        <v>Valid</v>
      </c>
    </row>
    <row r="148" spans="1:31" x14ac:dyDescent="0.3">
      <c r="A148" s="2" t="s">
        <v>623</v>
      </c>
      <c r="B148" s="2" t="s">
        <v>624</v>
      </c>
      <c r="C148" s="2" t="s">
        <v>625</v>
      </c>
      <c r="D148" s="2" t="s">
        <v>578</v>
      </c>
      <c r="E148" s="2" t="s">
        <v>625</v>
      </c>
      <c r="F148" s="2" t="s">
        <v>625</v>
      </c>
      <c r="G148" s="5" t="str" cm="1">
        <f t="array" ref="G148">IFERROR(INDEX(City_Lookup!$B$2:$B$297,MATCH(TRUE,ISNUMBER(SEARCH(City_Lookup!$A$2:$A$297,$F148&amp;" "&amp;$E148)),0)),"Not Available")</f>
        <v>Banke</v>
      </c>
      <c r="H148" s="5" t="str">
        <f>IFERROR(INDEX(City_Lookup!$E$2:$E$66,MATCH($G148,City_Lookup!$D$2:$D$66,0)),"Not Available")</f>
        <v>Lumbini</v>
      </c>
      <c r="I148" s="2" t="s">
        <v>28</v>
      </c>
      <c r="J148" s="2" t="s">
        <v>29</v>
      </c>
      <c r="K148" s="2" t="s">
        <v>250</v>
      </c>
      <c r="L148" s="2"/>
      <c r="M148" s="2" t="s">
        <v>250</v>
      </c>
      <c r="N148" s="2" t="s">
        <v>251</v>
      </c>
      <c r="O148" s="2">
        <v>1</v>
      </c>
      <c r="P148" s="2" t="s">
        <v>27</v>
      </c>
      <c r="Q148" s="2" t="s">
        <v>626</v>
      </c>
      <c r="R148" s="2" t="s">
        <v>33</v>
      </c>
      <c r="S148" s="2" t="s">
        <v>27</v>
      </c>
      <c r="T148" s="2" t="s">
        <v>34</v>
      </c>
      <c r="U148" s="2" t="s">
        <v>35</v>
      </c>
      <c r="V148" s="2" t="s">
        <v>36</v>
      </c>
      <c r="W148" s="2" t="s">
        <v>37</v>
      </c>
      <c r="X148" s="4" t="s">
        <v>2488</v>
      </c>
      <c r="Y148" s="4" t="s">
        <v>2500</v>
      </c>
      <c r="Z148" t="str">
        <f t="shared" si="12"/>
        <v>97714230340</v>
      </c>
      <c r="AA148" t="str">
        <f t="shared" si="13"/>
        <v>14230340</v>
      </c>
      <c r="AB148" t="str">
        <f t="shared" si="14"/>
        <v>14230340</v>
      </c>
      <c r="AC148" t="str">
        <f t="shared" si="15"/>
        <v>+97714230340</v>
      </c>
      <c r="AD148" t="str">
        <f t="shared" si="16"/>
        <v>Landline</v>
      </c>
      <c r="AE148" t="str">
        <f t="shared" si="17"/>
        <v>Valid</v>
      </c>
    </row>
    <row r="149" spans="1:31" x14ac:dyDescent="0.3">
      <c r="A149" s="2" t="s">
        <v>627</v>
      </c>
      <c r="B149" s="2" t="s">
        <v>628</v>
      </c>
      <c r="C149" s="2" t="s">
        <v>629</v>
      </c>
      <c r="D149" s="2" t="s">
        <v>578</v>
      </c>
      <c r="E149" s="2" t="s">
        <v>629</v>
      </c>
      <c r="F149" s="2" t="s">
        <v>629</v>
      </c>
      <c r="G149" s="5" t="str" cm="1">
        <f t="array" ref="G149">IFERROR(INDEX(City_Lookup!$B$2:$B$297,MATCH(TRUE,ISNUMBER(SEARCH(City_Lookup!$A$2:$A$297,$F149&amp;" "&amp;$E149)),0)),"Not Available")</f>
        <v>Kailali</v>
      </c>
      <c r="H149" s="5" t="str">
        <f>IFERROR(INDEX(City_Lookup!$E$2:$E$66,MATCH($G149,City_Lookup!$D$2:$D$66,0)),"Not Available")</f>
        <v>Sudurpashchim</v>
      </c>
      <c r="I149" s="2" t="s">
        <v>28</v>
      </c>
      <c r="J149" s="2" t="s">
        <v>29</v>
      </c>
      <c r="K149" s="2" t="s">
        <v>250</v>
      </c>
      <c r="L149" s="2"/>
      <c r="M149" s="2" t="s">
        <v>250</v>
      </c>
      <c r="N149" s="2" t="s">
        <v>251</v>
      </c>
      <c r="O149" s="2">
        <v>1</v>
      </c>
      <c r="P149" s="2" t="s">
        <v>630</v>
      </c>
      <c r="Q149" s="2" t="s">
        <v>631</v>
      </c>
      <c r="R149" s="2" t="s">
        <v>33</v>
      </c>
      <c r="S149" s="2" t="s">
        <v>27</v>
      </c>
      <c r="T149" s="2" t="s">
        <v>34</v>
      </c>
      <c r="U149" s="2" t="s">
        <v>35</v>
      </c>
      <c r="V149" s="2" t="s">
        <v>36</v>
      </c>
      <c r="W149" s="2" t="s">
        <v>37</v>
      </c>
      <c r="X149" s="4" t="s">
        <v>630</v>
      </c>
      <c r="Y149" s="4" t="s">
        <v>2501</v>
      </c>
      <c r="Z149" t="str">
        <f t="shared" si="12"/>
        <v>977091415051</v>
      </c>
      <c r="AA149" t="str">
        <f t="shared" si="13"/>
        <v>091415051</v>
      </c>
      <c r="AB149" t="str">
        <f t="shared" si="14"/>
        <v>91415051</v>
      </c>
      <c r="AC149" t="str">
        <f t="shared" si="15"/>
        <v>+97791415051</v>
      </c>
      <c r="AD149" t="str">
        <f t="shared" si="16"/>
        <v>Landline</v>
      </c>
      <c r="AE149" t="str">
        <f t="shared" si="17"/>
        <v>Valid</v>
      </c>
    </row>
    <row r="150" spans="1:31" x14ac:dyDescent="0.3">
      <c r="A150" s="2" t="s">
        <v>632</v>
      </c>
      <c r="B150" s="2" t="s">
        <v>633</v>
      </c>
      <c r="C150" s="2" t="s">
        <v>634</v>
      </c>
      <c r="D150" s="2" t="s">
        <v>578</v>
      </c>
      <c r="E150" s="2" t="s">
        <v>634</v>
      </c>
      <c r="F150" s="2" t="s">
        <v>634</v>
      </c>
      <c r="G150" s="5" t="str" cm="1">
        <f t="array" ref="G150">IFERROR(INDEX(City_Lookup!$B$2:$B$297,MATCH(TRUE,ISNUMBER(SEARCH(City_Lookup!$A$2:$A$297,$F150&amp;" "&amp;$E150)),0)),"Not Available")</f>
        <v>Dhanusha</v>
      </c>
      <c r="H150" s="5" t="str">
        <f>IFERROR(INDEX(City_Lookup!$E$2:$E$66,MATCH($G150,City_Lookup!$D$2:$D$66,0)),"Not Available")</f>
        <v>Madhesh</v>
      </c>
      <c r="I150" s="2" t="s">
        <v>28</v>
      </c>
      <c r="J150" s="2" t="s">
        <v>29</v>
      </c>
      <c r="K150" s="2" t="s">
        <v>250</v>
      </c>
      <c r="L150" s="2"/>
      <c r="M150" s="2" t="s">
        <v>250</v>
      </c>
      <c r="N150" s="2" t="s">
        <v>251</v>
      </c>
      <c r="O150" s="2">
        <v>1</v>
      </c>
      <c r="P150" s="2" t="s">
        <v>635</v>
      </c>
      <c r="Q150" s="2" t="s">
        <v>636</v>
      </c>
      <c r="R150" s="2" t="s">
        <v>33</v>
      </c>
      <c r="S150" s="2" t="s">
        <v>27</v>
      </c>
      <c r="T150" s="2" t="s">
        <v>34</v>
      </c>
      <c r="U150" s="2" t="s">
        <v>35</v>
      </c>
      <c r="V150" s="2" t="s">
        <v>36</v>
      </c>
      <c r="W150" s="2" t="s">
        <v>37</v>
      </c>
      <c r="X150" s="4" t="s">
        <v>635</v>
      </c>
      <c r="Y150" s="4" t="s">
        <v>2501</v>
      </c>
      <c r="Z150" t="str">
        <f t="shared" si="12"/>
        <v>9779814837866</v>
      </c>
      <c r="AA150" t="str">
        <f t="shared" si="13"/>
        <v>9814837866</v>
      </c>
      <c r="AB150" t="str">
        <f t="shared" si="14"/>
        <v>9814837866</v>
      </c>
      <c r="AC150" t="str">
        <f t="shared" si="15"/>
        <v>+9779814837866</v>
      </c>
      <c r="AD150" t="str">
        <f t="shared" si="16"/>
        <v>Mobile</v>
      </c>
      <c r="AE150" t="str">
        <f t="shared" si="17"/>
        <v>Valid</v>
      </c>
    </row>
    <row r="151" spans="1:31" x14ac:dyDescent="0.3">
      <c r="A151" s="2" t="s">
        <v>637</v>
      </c>
      <c r="B151" s="2" t="s">
        <v>638</v>
      </c>
      <c r="C151" s="2" t="s">
        <v>420</v>
      </c>
      <c r="D151" s="2" t="s">
        <v>578</v>
      </c>
      <c r="E151" s="2" t="s">
        <v>420</v>
      </c>
      <c r="F151" s="2" t="s">
        <v>420</v>
      </c>
      <c r="G151" s="5" t="str" cm="1">
        <f t="array" ref="G151">IFERROR(INDEX(City_Lookup!$B$2:$B$297,MATCH(TRUE,ISNUMBER(SEARCH(City_Lookup!$A$2:$A$297,$F151&amp;" "&amp;$E151)),0)),"Not Available")</f>
        <v>Dang</v>
      </c>
      <c r="H151" s="5" t="str">
        <f>IFERROR(INDEX(City_Lookup!$E$2:$E$66,MATCH($G151,City_Lookup!$D$2:$D$66,0)),"Not Available")</f>
        <v>Lumbini</v>
      </c>
      <c r="I151" s="2" t="s">
        <v>28</v>
      </c>
      <c r="J151" s="2" t="s">
        <v>29</v>
      </c>
      <c r="K151" s="2" t="s">
        <v>250</v>
      </c>
      <c r="L151" s="2"/>
      <c r="M151" s="2" t="s">
        <v>250</v>
      </c>
      <c r="N151" s="2" t="s">
        <v>251</v>
      </c>
      <c r="O151" s="2">
        <v>1</v>
      </c>
      <c r="P151" s="2" t="s">
        <v>639</v>
      </c>
      <c r="Q151" s="2" t="s">
        <v>422</v>
      </c>
      <c r="R151" s="2" t="s">
        <v>33</v>
      </c>
      <c r="S151" s="2" t="s">
        <v>27</v>
      </c>
      <c r="T151" s="2" t="s">
        <v>34</v>
      </c>
      <c r="U151" s="2" t="s">
        <v>35</v>
      </c>
      <c r="V151" s="2" t="s">
        <v>36</v>
      </c>
      <c r="W151" s="2" t="s">
        <v>37</v>
      </c>
      <c r="X151" s="4" t="s">
        <v>639</v>
      </c>
      <c r="Y151" s="4" t="s">
        <v>2501</v>
      </c>
      <c r="Z151" t="str">
        <f t="shared" si="12"/>
        <v>977082580312</v>
      </c>
      <c r="AA151" t="str">
        <f t="shared" si="13"/>
        <v>082580312</v>
      </c>
      <c r="AB151" t="str">
        <f t="shared" si="14"/>
        <v>82580312</v>
      </c>
      <c r="AC151" t="str">
        <f t="shared" si="15"/>
        <v>+97782580312</v>
      </c>
      <c r="AD151" t="str">
        <f t="shared" si="16"/>
        <v>Landline</v>
      </c>
      <c r="AE151" t="str">
        <f t="shared" si="17"/>
        <v>Valid</v>
      </c>
    </row>
    <row r="152" spans="1:31" x14ac:dyDescent="0.3">
      <c r="A152" s="2" t="s">
        <v>640</v>
      </c>
      <c r="B152" s="2" t="s">
        <v>641</v>
      </c>
      <c r="C152" s="2" t="s">
        <v>642</v>
      </c>
      <c r="D152" s="2" t="s">
        <v>578</v>
      </c>
      <c r="E152" s="2" t="s">
        <v>642</v>
      </c>
      <c r="F152" s="2" t="s">
        <v>642</v>
      </c>
      <c r="G152" s="5" t="str" cm="1">
        <f t="array" ref="G152">IFERROR(INDEX(City_Lookup!$B$2:$B$297,MATCH(TRUE,ISNUMBER(SEARCH(City_Lookup!$A$2:$A$297,$F152&amp;" "&amp;$E152)),0)),"Not Available")</f>
        <v>Bhaktapur</v>
      </c>
      <c r="H152" s="5" t="str">
        <f>IFERROR(INDEX(City_Lookup!$E$2:$E$66,MATCH($G152,City_Lookup!$D$2:$D$66,0)),"Not Available")</f>
        <v>Bagmati</v>
      </c>
      <c r="I152" s="2" t="s">
        <v>28</v>
      </c>
      <c r="J152" s="2" t="s">
        <v>29</v>
      </c>
      <c r="K152" s="2" t="s">
        <v>250</v>
      </c>
      <c r="L152" s="2"/>
      <c r="M152" s="2" t="s">
        <v>250</v>
      </c>
      <c r="N152" s="2" t="s">
        <v>251</v>
      </c>
      <c r="O152" s="2">
        <v>1</v>
      </c>
      <c r="P152" s="2" t="s">
        <v>643</v>
      </c>
      <c r="Q152" s="2" t="s">
        <v>644</v>
      </c>
      <c r="R152" s="2" t="s">
        <v>33</v>
      </c>
      <c r="S152" s="2" t="s">
        <v>27</v>
      </c>
      <c r="T152" s="2" t="s">
        <v>34</v>
      </c>
      <c r="U152" s="2" t="s">
        <v>35</v>
      </c>
      <c r="V152" s="2" t="s">
        <v>36</v>
      </c>
      <c r="W152" s="2" t="s">
        <v>37</v>
      </c>
      <c r="X152" s="4" t="s">
        <v>643</v>
      </c>
      <c r="Y152" s="4" t="s">
        <v>2501</v>
      </c>
      <c r="Z152" t="str">
        <f t="shared" si="12"/>
        <v>9779801008333</v>
      </c>
      <c r="AA152" t="str">
        <f t="shared" si="13"/>
        <v>9801008333</v>
      </c>
      <c r="AB152" t="str">
        <f t="shared" si="14"/>
        <v>9801008333</v>
      </c>
      <c r="AC152" t="str">
        <f t="shared" si="15"/>
        <v>+9779801008333</v>
      </c>
      <c r="AD152" t="str">
        <f t="shared" si="16"/>
        <v>Mobile</v>
      </c>
      <c r="AE152" t="str">
        <f t="shared" si="17"/>
        <v>Valid</v>
      </c>
    </row>
    <row r="153" spans="1:31" x14ac:dyDescent="0.3">
      <c r="A153" s="2" t="s">
        <v>645</v>
      </c>
      <c r="B153" s="2" t="s">
        <v>646</v>
      </c>
      <c r="C153" s="2" t="s">
        <v>647</v>
      </c>
      <c r="D153" s="2" t="s">
        <v>578</v>
      </c>
      <c r="E153" s="2" t="s">
        <v>647</v>
      </c>
      <c r="F153" s="2" t="s">
        <v>647</v>
      </c>
      <c r="G153" s="5" t="str" cm="1">
        <f t="array" ref="G153">IFERROR(INDEX(City_Lookup!$B$2:$B$297,MATCH(TRUE,ISNUMBER(SEARCH(City_Lookup!$A$2:$A$297,$F153&amp;" "&amp;$E153)),0)),"Not Available")</f>
        <v>Chitwan</v>
      </c>
      <c r="H153" s="5" t="str">
        <f>IFERROR(INDEX(City_Lookup!$E$2:$E$66,MATCH($G153,City_Lookup!$D$2:$D$66,0)),"Not Available")</f>
        <v>Bagmati</v>
      </c>
      <c r="I153" s="2" t="s">
        <v>28</v>
      </c>
      <c r="J153" s="2" t="s">
        <v>29</v>
      </c>
      <c r="K153" s="2" t="s">
        <v>250</v>
      </c>
      <c r="L153" s="2"/>
      <c r="M153" s="2" t="s">
        <v>250</v>
      </c>
      <c r="N153" s="2" t="s">
        <v>251</v>
      </c>
      <c r="O153" s="2">
        <v>1</v>
      </c>
      <c r="P153" s="2" t="s">
        <v>27</v>
      </c>
      <c r="Q153" s="2" t="s">
        <v>648</v>
      </c>
      <c r="R153" s="2" t="s">
        <v>33</v>
      </c>
      <c r="S153" s="2" t="s">
        <v>27</v>
      </c>
      <c r="T153" s="2" t="s">
        <v>34</v>
      </c>
      <c r="U153" s="2" t="s">
        <v>35</v>
      </c>
      <c r="V153" s="2" t="s">
        <v>36</v>
      </c>
      <c r="W153" s="2" t="s">
        <v>37</v>
      </c>
      <c r="X153" s="4" t="s">
        <v>2488</v>
      </c>
      <c r="Y153" s="4" t="s">
        <v>2500</v>
      </c>
      <c r="Z153" t="str">
        <f t="shared" si="12"/>
        <v>97714230340</v>
      </c>
      <c r="AA153" t="str">
        <f t="shared" si="13"/>
        <v>14230340</v>
      </c>
      <c r="AB153" t="str">
        <f t="shared" si="14"/>
        <v>14230340</v>
      </c>
      <c r="AC153" t="str">
        <f t="shared" si="15"/>
        <v>+97714230340</v>
      </c>
      <c r="AD153" t="str">
        <f t="shared" si="16"/>
        <v>Landline</v>
      </c>
      <c r="AE153" t="str">
        <f t="shared" si="17"/>
        <v>Valid</v>
      </c>
    </row>
    <row r="154" spans="1:31" x14ac:dyDescent="0.3">
      <c r="A154" s="2" t="s">
        <v>649</v>
      </c>
      <c r="B154" s="2" t="s">
        <v>650</v>
      </c>
      <c r="C154" s="2" t="s">
        <v>651</v>
      </c>
      <c r="D154" s="2" t="s">
        <v>578</v>
      </c>
      <c r="E154" s="2" t="s">
        <v>651</v>
      </c>
      <c r="F154" s="2" t="s">
        <v>651</v>
      </c>
      <c r="G154" s="5" t="str" cm="1">
        <f t="array" ref="G154">IFERROR(INDEX(City_Lookup!$B$2:$B$297,MATCH(TRUE,ISNUMBER(SEARCH(City_Lookup!$A$2:$A$297,$F154&amp;" "&amp;$E154)),0)),"Not Available")</f>
        <v>Kathmandu</v>
      </c>
      <c r="H154" s="5" t="str">
        <f>IFERROR(INDEX(City_Lookup!$E$2:$E$66,MATCH($G154,City_Lookup!$D$2:$D$66,0)),"Not Available")</f>
        <v>Bagmati</v>
      </c>
      <c r="I154" s="2" t="s">
        <v>28</v>
      </c>
      <c r="J154" s="2" t="s">
        <v>29</v>
      </c>
      <c r="K154" s="2" t="s">
        <v>250</v>
      </c>
      <c r="L154" s="2"/>
      <c r="M154" s="2" t="s">
        <v>250</v>
      </c>
      <c r="N154" s="2" t="s">
        <v>251</v>
      </c>
      <c r="O154" s="2">
        <v>1</v>
      </c>
      <c r="P154" s="2" t="s">
        <v>652</v>
      </c>
      <c r="Q154" s="2" t="s">
        <v>653</v>
      </c>
      <c r="R154" s="2" t="s">
        <v>33</v>
      </c>
      <c r="S154" s="2" t="s">
        <v>27</v>
      </c>
      <c r="T154" s="2" t="s">
        <v>34</v>
      </c>
      <c r="U154" s="2" t="s">
        <v>35</v>
      </c>
      <c r="V154" s="2" t="s">
        <v>36</v>
      </c>
      <c r="W154" s="2" t="s">
        <v>37</v>
      </c>
      <c r="X154" s="4" t="s">
        <v>652</v>
      </c>
      <c r="Y154" s="4" t="s">
        <v>2501</v>
      </c>
      <c r="Z154" t="str">
        <f t="shared" si="12"/>
        <v>977015252125</v>
      </c>
      <c r="AA154" t="str">
        <f t="shared" si="13"/>
        <v>015252125</v>
      </c>
      <c r="AB154" t="str">
        <f t="shared" si="14"/>
        <v>15252125</v>
      </c>
      <c r="AC154" t="str">
        <f t="shared" si="15"/>
        <v>+97715252125</v>
      </c>
      <c r="AD154" t="str">
        <f t="shared" si="16"/>
        <v>Landline</v>
      </c>
      <c r="AE154" t="str">
        <f t="shared" si="17"/>
        <v>Valid</v>
      </c>
    </row>
    <row r="155" spans="1:31" x14ac:dyDescent="0.3">
      <c r="A155" s="2" t="s">
        <v>654</v>
      </c>
      <c r="B155" s="2" t="s">
        <v>655</v>
      </c>
      <c r="C155" s="2" t="s">
        <v>656</v>
      </c>
      <c r="D155" s="2" t="s">
        <v>578</v>
      </c>
      <c r="E155" s="2" t="s">
        <v>656</v>
      </c>
      <c r="F155" s="2" t="s">
        <v>656</v>
      </c>
      <c r="G155" s="5" t="str" cm="1">
        <f t="array" ref="G155">IFERROR(INDEX(City_Lookup!$B$2:$B$297,MATCH(TRUE,ISNUMBER(SEARCH(City_Lookup!$A$2:$A$297,$F155&amp;" "&amp;$E155)),0)),"Not Available")</f>
        <v>Banke</v>
      </c>
      <c r="H155" s="5" t="str">
        <f>IFERROR(INDEX(City_Lookup!$E$2:$E$66,MATCH($G155,City_Lookup!$D$2:$D$66,0)),"Not Available")</f>
        <v>Lumbini</v>
      </c>
      <c r="I155" s="2" t="s">
        <v>28</v>
      </c>
      <c r="J155" s="2" t="s">
        <v>29</v>
      </c>
      <c r="K155" s="2" t="s">
        <v>250</v>
      </c>
      <c r="L155" s="2"/>
      <c r="M155" s="2" t="s">
        <v>250</v>
      </c>
      <c r="N155" s="2" t="s">
        <v>251</v>
      </c>
      <c r="O155" s="2">
        <v>1</v>
      </c>
      <c r="P155" s="2" t="s">
        <v>657</v>
      </c>
      <c r="Q155" s="2" t="s">
        <v>658</v>
      </c>
      <c r="R155" s="2" t="s">
        <v>33</v>
      </c>
      <c r="S155" s="2" t="s">
        <v>27</v>
      </c>
      <c r="T155" s="2" t="s">
        <v>34</v>
      </c>
      <c r="U155" s="2" t="s">
        <v>35</v>
      </c>
      <c r="V155" s="2" t="s">
        <v>36</v>
      </c>
      <c r="W155" s="2" t="s">
        <v>37</v>
      </c>
      <c r="X155" s="4" t="s">
        <v>657</v>
      </c>
      <c r="Y155" s="4" t="s">
        <v>2501</v>
      </c>
      <c r="Z155" t="str">
        <f t="shared" si="12"/>
        <v>977081403083</v>
      </c>
      <c r="AA155" t="str">
        <f t="shared" si="13"/>
        <v>081403083</v>
      </c>
      <c r="AB155" t="str">
        <f t="shared" si="14"/>
        <v>81403083</v>
      </c>
      <c r="AC155" t="str">
        <f t="shared" si="15"/>
        <v>+97781403083</v>
      </c>
      <c r="AD155" t="str">
        <f t="shared" si="16"/>
        <v>Landline</v>
      </c>
      <c r="AE155" t="str">
        <f t="shared" si="17"/>
        <v>Valid</v>
      </c>
    </row>
    <row r="156" spans="1:31" x14ac:dyDescent="0.3">
      <c r="A156" s="2" t="s">
        <v>659</v>
      </c>
      <c r="B156" s="2" t="s">
        <v>660</v>
      </c>
      <c r="C156" s="2" t="s">
        <v>661</v>
      </c>
      <c r="D156" s="2" t="s">
        <v>662</v>
      </c>
      <c r="E156" s="2" t="s">
        <v>661</v>
      </c>
      <c r="F156" s="2" t="s">
        <v>661</v>
      </c>
      <c r="G156" s="5" t="str" cm="1">
        <f t="array" ref="G156">IFERROR(INDEX(City_Lookup!$B$2:$B$297,MATCH(TRUE,ISNUMBER(SEARCH(City_Lookup!$A$2:$A$297,$F156&amp;" "&amp;$E156)),0)),"Not Available")</f>
        <v>Ilam</v>
      </c>
      <c r="H156" s="5" t="str">
        <f>IFERROR(INDEX(City_Lookup!$E$2:$E$66,MATCH($G156,City_Lookup!$D$2:$D$66,0)),"Not Available")</f>
        <v>Koshi</v>
      </c>
      <c r="I156" s="2" t="s">
        <v>663</v>
      </c>
      <c r="J156" s="2" t="s">
        <v>29</v>
      </c>
      <c r="K156" s="2" t="s">
        <v>250</v>
      </c>
      <c r="L156" s="2"/>
      <c r="M156" s="2" t="s">
        <v>250</v>
      </c>
      <c r="N156" s="2" t="s">
        <v>664</v>
      </c>
      <c r="O156" s="2">
        <v>1</v>
      </c>
      <c r="P156" s="2" t="s">
        <v>665</v>
      </c>
      <c r="Q156" s="2" t="s">
        <v>666</v>
      </c>
      <c r="R156" s="2" t="s">
        <v>33</v>
      </c>
      <c r="S156" s="2" t="s">
        <v>27</v>
      </c>
      <c r="T156" s="2" t="s">
        <v>34</v>
      </c>
      <c r="U156" s="2" t="s">
        <v>35</v>
      </c>
      <c r="V156" s="2" t="s">
        <v>36</v>
      </c>
      <c r="W156" s="2" t="s">
        <v>37</v>
      </c>
      <c r="X156" s="4" t="s">
        <v>665</v>
      </c>
      <c r="Y156" s="4" t="s">
        <v>2501</v>
      </c>
      <c r="Z156" t="str">
        <f t="shared" si="12"/>
        <v>9779842627073</v>
      </c>
      <c r="AA156" t="str">
        <f t="shared" si="13"/>
        <v>9842627073</v>
      </c>
      <c r="AB156" t="str">
        <f t="shared" si="14"/>
        <v>9842627073</v>
      </c>
      <c r="AC156" t="str">
        <f t="shared" si="15"/>
        <v>+9779842627073</v>
      </c>
      <c r="AD156" t="str">
        <f t="shared" si="16"/>
        <v>Mobile</v>
      </c>
      <c r="AE156" t="str">
        <f t="shared" si="17"/>
        <v>Valid</v>
      </c>
    </row>
    <row r="157" spans="1:31" x14ac:dyDescent="0.3">
      <c r="A157" s="2" t="s">
        <v>667</v>
      </c>
      <c r="B157" s="2" t="s">
        <v>668</v>
      </c>
      <c r="C157" s="2" t="s">
        <v>669</v>
      </c>
      <c r="D157" s="2" t="s">
        <v>662</v>
      </c>
      <c r="E157" s="2" t="s">
        <v>669</v>
      </c>
      <c r="F157" s="2" t="s">
        <v>669</v>
      </c>
      <c r="G157" s="5" t="str" cm="1">
        <f t="array" ref="G157">IFERROR(INDEX(City_Lookup!$B$2:$B$297,MATCH(TRUE,ISNUMBER(SEARCH(City_Lookup!$A$2:$A$297,$F157&amp;" "&amp;$E157)),0)),"Not Available")</f>
        <v>Dhankuta</v>
      </c>
      <c r="H157" s="5" t="str">
        <f>IFERROR(INDEX(City_Lookup!$E$2:$E$66,MATCH($G157,City_Lookup!$D$2:$D$66,0)),"Not Available")</f>
        <v>Koshi</v>
      </c>
      <c r="I157" s="2" t="s">
        <v>663</v>
      </c>
      <c r="J157" s="2" t="s">
        <v>29</v>
      </c>
      <c r="K157" s="2" t="s">
        <v>250</v>
      </c>
      <c r="L157" s="2"/>
      <c r="M157" s="2" t="s">
        <v>250</v>
      </c>
      <c r="N157" s="2" t="s">
        <v>664</v>
      </c>
      <c r="O157" s="2">
        <v>1</v>
      </c>
      <c r="P157" s="2" t="s">
        <v>672</v>
      </c>
      <c r="Q157" s="2" t="s">
        <v>673</v>
      </c>
      <c r="R157" s="2" t="s">
        <v>33</v>
      </c>
      <c r="S157" s="2" t="s">
        <v>27</v>
      </c>
      <c r="T157" s="2" t="s">
        <v>34</v>
      </c>
      <c r="U157" s="2" t="s">
        <v>35</v>
      </c>
      <c r="V157" s="2" t="s">
        <v>36</v>
      </c>
      <c r="W157" s="2" t="s">
        <v>37</v>
      </c>
      <c r="X157" s="4" t="s">
        <v>672</v>
      </c>
      <c r="Y157" s="4" t="s">
        <v>2501</v>
      </c>
      <c r="Z157" t="str">
        <f t="shared" si="12"/>
        <v>9779842455775</v>
      </c>
      <c r="AA157" t="str">
        <f t="shared" si="13"/>
        <v>9842455775</v>
      </c>
      <c r="AB157" t="str">
        <f t="shared" si="14"/>
        <v>9842455775</v>
      </c>
      <c r="AC157" t="str">
        <f t="shared" si="15"/>
        <v>+9779842455775</v>
      </c>
      <c r="AD157" t="str">
        <f t="shared" si="16"/>
        <v>Mobile</v>
      </c>
      <c r="AE157" t="str">
        <f t="shared" si="17"/>
        <v>Valid</v>
      </c>
    </row>
    <row r="158" spans="1:31" x14ac:dyDescent="0.3">
      <c r="A158" s="2" t="s">
        <v>674</v>
      </c>
      <c r="B158" s="2" t="s">
        <v>675</v>
      </c>
      <c r="C158" s="2" t="s">
        <v>676</v>
      </c>
      <c r="D158" s="2" t="s">
        <v>662</v>
      </c>
      <c r="E158" s="2" t="s">
        <v>676</v>
      </c>
      <c r="F158" s="2" t="s">
        <v>676</v>
      </c>
      <c r="G158" s="5" t="str" cm="1">
        <f t="array" ref="G158">IFERROR(INDEX(City_Lookup!$B$2:$B$297,MATCH(TRUE,ISNUMBER(SEARCH(City_Lookup!$A$2:$A$297,$F158&amp;" "&amp;$E158)),0)),"Not Available")</f>
        <v>Siraha</v>
      </c>
      <c r="H158" s="5" t="str">
        <f>IFERROR(INDEX(City_Lookup!$E$2:$E$66,MATCH($G158,City_Lookup!$D$2:$D$66,0)),"Not Available")</f>
        <v>Madhesh</v>
      </c>
      <c r="I158" s="2" t="s">
        <v>663</v>
      </c>
      <c r="J158" s="2" t="s">
        <v>29</v>
      </c>
      <c r="K158" s="2" t="s">
        <v>250</v>
      </c>
      <c r="L158" s="2"/>
      <c r="M158" s="2" t="s">
        <v>250</v>
      </c>
      <c r="N158" s="2" t="s">
        <v>664</v>
      </c>
      <c r="O158" s="2">
        <v>2</v>
      </c>
      <c r="P158" s="2" t="s">
        <v>678</v>
      </c>
      <c r="Q158" s="2" t="s">
        <v>679</v>
      </c>
      <c r="R158" s="2" t="s">
        <v>33</v>
      </c>
      <c r="S158" s="2" t="s">
        <v>27</v>
      </c>
      <c r="T158" s="2" t="s">
        <v>34</v>
      </c>
      <c r="U158" s="2" t="s">
        <v>35</v>
      </c>
      <c r="V158" s="2" t="s">
        <v>36</v>
      </c>
      <c r="W158" s="2" t="s">
        <v>37</v>
      </c>
      <c r="X158" s="4" t="s">
        <v>678</v>
      </c>
      <c r="Y158" s="4" t="s">
        <v>2501</v>
      </c>
      <c r="Z158" t="str">
        <f t="shared" si="12"/>
        <v>9779815785299</v>
      </c>
      <c r="AA158" t="str">
        <f t="shared" si="13"/>
        <v>9815785299</v>
      </c>
      <c r="AB158" t="str">
        <f t="shared" si="14"/>
        <v>9815785299</v>
      </c>
      <c r="AC158" t="str">
        <f t="shared" si="15"/>
        <v>+9779815785299</v>
      </c>
      <c r="AD158" t="str">
        <f t="shared" si="16"/>
        <v>Mobile</v>
      </c>
      <c r="AE158" t="str">
        <f t="shared" si="17"/>
        <v>Valid</v>
      </c>
    </row>
    <row r="159" spans="1:31" x14ac:dyDescent="0.3">
      <c r="A159" s="2" t="s">
        <v>674</v>
      </c>
      <c r="B159" s="2" t="s">
        <v>680</v>
      </c>
      <c r="C159" s="2" t="s">
        <v>676</v>
      </c>
      <c r="D159" s="2" t="s">
        <v>662</v>
      </c>
      <c r="E159" s="2" t="s">
        <v>676</v>
      </c>
      <c r="F159" s="2" t="s">
        <v>676</v>
      </c>
      <c r="G159" s="5" t="str" cm="1">
        <f t="array" ref="G159">IFERROR(INDEX(City_Lookup!$B$2:$B$297,MATCH(TRUE,ISNUMBER(SEARCH(City_Lookup!$A$2:$A$297,$F159&amp;" "&amp;$E159)),0)),"Not Available")</f>
        <v>Siraha</v>
      </c>
      <c r="H159" s="5" t="str">
        <f>IFERROR(INDEX(City_Lookup!$E$2:$E$66,MATCH($G159,City_Lookup!$D$2:$D$66,0)),"Not Available")</f>
        <v>Madhesh</v>
      </c>
      <c r="I159" s="2" t="s">
        <v>28</v>
      </c>
      <c r="J159" s="2" t="s">
        <v>29</v>
      </c>
      <c r="K159" s="2" t="s">
        <v>250</v>
      </c>
      <c r="L159" s="2"/>
      <c r="M159" s="2" t="s">
        <v>250</v>
      </c>
      <c r="N159" s="2" t="s">
        <v>681</v>
      </c>
      <c r="O159" s="2">
        <v>2</v>
      </c>
      <c r="P159" s="2" t="s">
        <v>678</v>
      </c>
      <c r="Q159" s="2" t="s">
        <v>679</v>
      </c>
      <c r="R159" s="2" t="s">
        <v>33</v>
      </c>
      <c r="S159" s="2" t="s">
        <v>27</v>
      </c>
      <c r="T159" s="2" t="s">
        <v>34</v>
      </c>
      <c r="U159" s="2" t="s">
        <v>35</v>
      </c>
      <c r="V159" s="2" t="s">
        <v>36</v>
      </c>
      <c r="W159" s="2" t="s">
        <v>37</v>
      </c>
      <c r="X159" s="4" t="s">
        <v>678</v>
      </c>
      <c r="Y159" s="4" t="s">
        <v>2501</v>
      </c>
      <c r="Z159" t="str">
        <f t="shared" si="12"/>
        <v>9779815785299</v>
      </c>
      <c r="AA159" t="str">
        <f t="shared" si="13"/>
        <v>9815785299</v>
      </c>
      <c r="AB159" t="str">
        <f t="shared" si="14"/>
        <v>9815785299</v>
      </c>
      <c r="AC159" t="str">
        <f t="shared" si="15"/>
        <v>+9779815785299</v>
      </c>
      <c r="AD159" t="str">
        <f t="shared" si="16"/>
        <v>Mobile</v>
      </c>
      <c r="AE159" t="str">
        <f t="shared" si="17"/>
        <v>Valid</v>
      </c>
    </row>
    <row r="160" spans="1:31" x14ac:dyDescent="0.3">
      <c r="A160" s="2" t="s">
        <v>682</v>
      </c>
      <c r="B160" s="2" t="s">
        <v>683</v>
      </c>
      <c r="C160" s="2" t="s">
        <v>684</v>
      </c>
      <c r="D160" s="2" t="s">
        <v>662</v>
      </c>
      <c r="E160" s="2" t="s">
        <v>684</v>
      </c>
      <c r="F160" s="2" t="s">
        <v>684</v>
      </c>
      <c r="G160" s="5" t="str" cm="1">
        <f t="array" ref="G160">IFERROR(INDEX(City_Lookup!$B$2:$B$297,MATCH(TRUE,ISNUMBER(SEARCH(City_Lookup!$A$2:$A$297,$F160&amp;" "&amp;$E160)),0)),"Not Available")</f>
        <v>Dhanusha</v>
      </c>
      <c r="H160" s="5" t="str">
        <f>IFERROR(INDEX(City_Lookup!$E$2:$E$66,MATCH($G160,City_Lookup!$D$2:$D$66,0)),"Not Available")</f>
        <v>Madhesh</v>
      </c>
      <c r="I160" s="2" t="s">
        <v>663</v>
      </c>
      <c r="J160" s="2" t="s">
        <v>29</v>
      </c>
      <c r="K160" s="2" t="s">
        <v>250</v>
      </c>
      <c r="L160" s="2"/>
      <c r="M160" s="2" t="s">
        <v>250</v>
      </c>
      <c r="N160" s="2" t="s">
        <v>664</v>
      </c>
      <c r="O160" s="2">
        <v>1</v>
      </c>
      <c r="P160" s="2" t="s">
        <v>686</v>
      </c>
      <c r="Q160" s="2" t="s">
        <v>687</v>
      </c>
      <c r="R160" s="2" t="s">
        <v>33</v>
      </c>
      <c r="S160" s="2" t="s">
        <v>27</v>
      </c>
      <c r="T160" s="2" t="s">
        <v>34</v>
      </c>
      <c r="U160" s="2" t="s">
        <v>35</v>
      </c>
      <c r="V160" s="2" t="s">
        <v>36</v>
      </c>
      <c r="W160" s="2" t="s">
        <v>37</v>
      </c>
      <c r="X160" s="4" t="s">
        <v>686</v>
      </c>
      <c r="Y160" s="4" t="s">
        <v>2501</v>
      </c>
      <c r="Z160" t="str">
        <f t="shared" si="12"/>
        <v>9779817837555</v>
      </c>
      <c r="AA160" t="str">
        <f t="shared" si="13"/>
        <v>9817837555</v>
      </c>
      <c r="AB160" t="str">
        <f t="shared" si="14"/>
        <v>9817837555</v>
      </c>
      <c r="AC160" t="str">
        <f t="shared" si="15"/>
        <v>+9779817837555</v>
      </c>
      <c r="AD160" t="str">
        <f t="shared" si="16"/>
        <v>Mobile</v>
      </c>
      <c r="AE160" t="str">
        <f t="shared" si="17"/>
        <v>Valid</v>
      </c>
    </row>
    <row r="161" spans="1:31" x14ac:dyDescent="0.3">
      <c r="A161" s="2" t="s">
        <v>688</v>
      </c>
      <c r="B161" s="2" t="s">
        <v>689</v>
      </c>
      <c r="C161" s="2" t="s">
        <v>690</v>
      </c>
      <c r="D161" s="2" t="s">
        <v>662</v>
      </c>
      <c r="E161" s="2" t="s">
        <v>690</v>
      </c>
      <c r="F161" s="2" t="s">
        <v>690</v>
      </c>
      <c r="G161" s="5" t="str" cm="1">
        <f t="array" ref="G161">IFERROR(INDEX(City_Lookup!$B$2:$B$297,MATCH(TRUE,ISNUMBER(SEARCH(City_Lookup!$A$2:$A$297,$F161&amp;" "&amp;$E161)),0)),"Not Available")</f>
        <v>Udayapur</v>
      </c>
      <c r="H161" s="5" t="str">
        <f>IFERROR(INDEX(City_Lookup!$E$2:$E$66,MATCH($G161,City_Lookup!$D$2:$D$66,0)),"Not Available")</f>
        <v>Koshi</v>
      </c>
      <c r="I161" s="2" t="s">
        <v>663</v>
      </c>
      <c r="J161" s="2" t="s">
        <v>29</v>
      </c>
      <c r="K161" s="2" t="s">
        <v>250</v>
      </c>
      <c r="L161" s="2"/>
      <c r="M161" s="2" t="s">
        <v>250</v>
      </c>
      <c r="N161" s="2" t="s">
        <v>664</v>
      </c>
      <c r="O161" s="2">
        <v>2</v>
      </c>
      <c r="P161" s="2" t="s">
        <v>691</v>
      </c>
      <c r="Q161" s="2" t="s">
        <v>692</v>
      </c>
      <c r="R161" s="2" t="s">
        <v>33</v>
      </c>
      <c r="S161" s="2" t="s">
        <v>27</v>
      </c>
      <c r="T161" s="2" t="s">
        <v>34</v>
      </c>
      <c r="U161" s="2" t="s">
        <v>35</v>
      </c>
      <c r="V161" s="2" t="s">
        <v>36</v>
      </c>
      <c r="W161" s="2" t="s">
        <v>37</v>
      </c>
      <c r="X161" s="4" t="s">
        <v>691</v>
      </c>
      <c r="Y161" s="4" t="s">
        <v>2501</v>
      </c>
      <c r="Z161" t="str">
        <f t="shared" si="12"/>
        <v>9779702402177</v>
      </c>
      <c r="AA161" t="str">
        <f t="shared" si="13"/>
        <v>9702402177</v>
      </c>
      <c r="AB161" t="str">
        <f t="shared" si="14"/>
        <v>9702402177</v>
      </c>
      <c r="AC161" t="str">
        <f t="shared" si="15"/>
        <v>+9779702402177</v>
      </c>
      <c r="AD161" t="str">
        <f t="shared" si="16"/>
        <v>Mobile</v>
      </c>
      <c r="AE161" t="str">
        <f t="shared" si="17"/>
        <v>Valid</v>
      </c>
    </row>
    <row r="162" spans="1:31" x14ac:dyDescent="0.3">
      <c r="A162" s="2" t="s">
        <v>688</v>
      </c>
      <c r="B162" s="2" t="s">
        <v>693</v>
      </c>
      <c r="C162" s="2" t="s">
        <v>690</v>
      </c>
      <c r="D162" s="2" t="s">
        <v>662</v>
      </c>
      <c r="E162" s="2" t="s">
        <v>690</v>
      </c>
      <c r="F162" s="2" t="s">
        <v>690</v>
      </c>
      <c r="G162" s="5" t="str" cm="1">
        <f t="array" ref="G162">IFERROR(INDEX(City_Lookup!$B$2:$B$297,MATCH(TRUE,ISNUMBER(SEARCH(City_Lookup!$A$2:$A$297,$F162&amp;" "&amp;$E162)),0)),"Not Available")</f>
        <v>Udayapur</v>
      </c>
      <c r="H162" s="5" t="str">
        <f>IFERROR(INDEX(City_Lookup!$E$2:$E$66,MATCH($G162,City_Lookup!$D$2:$D$66,0)),"Not Available")</f>
        <v>Koshi</v>
      </c>
      <c r="I162" s="2" t="s">
        <v>28</v>
      </c>
      <c r="J162" s="2" t="s">
        <v>29</v>
      </c>
      <c r="K162" s="2" t="s">
        <v>250</v>
      </c>
      <c r="L162" s="2"/>
      <c r="M162" s="2" t="s">
        <v>250</v>
      </c>
      <c r="N162" s="2" t="s">
        <v>681</v>
      </c>
      <c r="O162" s="2">
        <v>2</v>
      </c>
      <c r="P162" s="2" t="s">
        <v>691</v>
      </c>
      <c r="Q162" s="2" t="s">
        <v>692</v>
      </c>
      <c r="R162" s="2" t="s">
        <v>33</v>
      </c>
      <c r="S162" s="2" t="s">
        <v>27</v>
      </c>
      <c r="T162" s="2" t="s">
        <v>34</v>
      </c>
      <c r="U162" s="2" t="s">
        <v>35</v>
      </c>
      <c r="V162" s="2" t="s">
        <v>36</v>
      </c>
      <c r="W162" s="2" t="s">
        <v>37</v>
      </c>
      <c r="X162" s="4" t="s">
        <v>691</v>
      </c>
      <c r="Y162" s="4" t="s">
        <v>2501</v>
      </c>
      <c r="Z162" t="str">
        <f t="shared" si="12"/>
        <v>9779702402177</v>
      </c>
      <c r="AA162" t="str">
        <f t="shared" si="13"/>
        <v>9702402177</v>
      </c>
      <c r="AB162" t="str">
        <f t="shared" si="14"/>
        <v>9702402177</v>
      </c>
      <c r="AC162" t="str">
        <f t="shared" si="15"/>
        <v>+9779702402177</v>
      </c>
      <c r="AD162" t="str">
        <f t="shared" si="16"/>
        <v>Mobile</v>
      </c>
      <c r="AE162" t="str">
        <f t="shared" si="17"/>
        <v>Valid</v>
      </c>
    </row>
    <row r="163" spans="1:31" x14ac:dyDescent="0.3">
      <c r="A163" s="2" t="s">
        <v>694</v>
      </c>
      <c r="B163" s="2" t="s">
        <v>695</v>
      </c>
      <c r="C163" s="2" t="s">
        <v>82</v>
      </c>
      <c r="D163" s="2" t="s">
        <v>662</v>
      </c>
      <c r="E163" s="2" t="s">
        <v>82</v>
      </c>
      <c r="F163" s="2" t="s">
        <v>82</v>
      </c>
      <c r="G163" s="5" t="str" cm="1">
        <f t="array" ref="G163">IFERROR(INDEX(City_Lookup!$B$2:$B$297,MATCH(TRUE,ISNUMBER(SEARCH(City_Lookup!$A$2:$A$297,$F163&amp;" "&amp;$E163)),0)),"Not Available")</f>
        <v>Sindhuli</v>
      </c>
      <c r="H163" s="5" t="str">
        <f>IFERROR(INDEX(City_Lookup!$E$2:$E$66,MATCH($G163,City_Lookup!$D$2:$D$66,0)),"Not Available")</f>
        <v>Bagmati</v>
      </c>
      <c r="I163" s="2" t="s">
        <v>663</v>
      </c>
      <c r="J163" s="2" t="s">
        <v>29</v>
      </c>
      <c r="K163" s="2" t="s">
        <v>250</v>
      </c>
      <c r="L163" s="2"/>
      <c r="M163" s="2" t="s">
        <v>250</v>
      </c>
      <c r="N163" s="2" t="s">
        <v>664</v>
      </c>
      <c r="O163" s="2">
        <v>1</v>
      </c>
      <c r="P163" s="2" t="s">
        <v>696</v>
      </c>
      <c r="Q163" s="2" t="s">
        <v>697</v>
      </c>
      <c r="R163" s="2" t="s">
        <v>33</v>
      </c>
      <c r="S163" s="2" t="s">
        <v>27</v>
      </c>
      <c r="T163" s="2" t="s">
        <v>34</v>
      </c>
      <c r="U163" s="2" t="s">
        <v>35</v>
      </c>
      <c r="V163" s="2" t="s">
        <v>36</v>
      </c>
      <c r="W163" s="2" t="s">
        <v>37</v>
      </c>
      <c r="X163" s="4" t="s">
        <v>696</v>
      </c>
      <c r="Y163" s="4" t="s">
        <v>2501</v>
      </c>
      <c r="Z163" t="str">
        <f t="shared" si="12"/>
        <v>9779854040533</v>
      </c>
      <c r="AA163" t="str">
        <f t="shared" si="13"/>
        <v>9854040533</v>
      </c>
      <c r="AB163" t="str">
        <f t="shared" si="14"/>
        <v>9854040533</v>
      </c>
      <c r="AC163" t="str">
        <f t="shared" si="15"/>
        <v>+9779854040533</v>
      </c>
      <c r="AD163" t="str">
        <f t="shared" si="16"/>
        <v>Mobile</v>
      </c>
      <c r="AE163" t="str">
        <f t="shared" si="17"/>
        <v>Valid</v>
      </c>
    </row>
    <row r="164" spans="1:31" x14ac:dyDescent="0.3">
      <c r="A164" s="2" t="s">
        <v>698</v>
      </c>
      <c r="B164" s="2" t="s">
        <v>699</v>
      </c>
      <c r="C164" s="2" t="s">
        <v>700</v>
      </c>
      <c r="D164" s="2" t="s">
        <v>662</v>
      </c>
      <c r="E164" s="2" t="s">
        <v>700</v>
      </c>
      <c r="F164" s="2" t="s">
        <v>700</v>
      </c>
      <c r="G164" s="5" t="str" cm="1">
        <f t="array" ref="G164">IFERROR(INDEX(City_Lookup!$B$2:$B$297,MATCH(TRUE,ISNUMBER(SEARCH(City_Lookup!$A$2:$A$297,$F164&amp;" "&amp;$E164)),0)),"Not Available")</f>
        <v>Dhading</v>
      </c>
      <c r="H164" s="5" t="str">
        <f>IFERROR(INDEX(City_Lookup!$E$2:$E$66,MATCH($G164,City_Lookup!$D$2:$D$66,0)),"Not Available")</f>
        <v>Bagmati</v>
      </c>
      <c r="I164" s="2" t="s">
        <v>663</v>
      </c>
      <c r="J164" s="2" t="s">
        <v>29</v>
      </c>
      <c r="K164" s="2" t="s">
        <v>250</v>
      </c>
      <c r="L164" s="2"/>
      <c r="M164" s="2" t="s">
        <v>250</v>
      </c>
      <c r="N164" s="2" t="s">
        <v>664</v>
      </c>
      <c r="O164" s="2">
        <v>2</v>
      </c>
      <c r="P164" s="2" t="s">
        <v>702</v>
      </c>
      <c r="Q164" s="2" t="s">
        <v>703</v>
      </c>
      <c r="R164" s="2" t="s">
        <v>33</v>
      </c>
      <c r="S164" s="2" t="s">
        <v>27</v>
      </c>
      <c r="T164" s="2" t="s">
        <v>34</v>
      </c>
      <c r="U164" s="2" t="s">
        <v>35</v>
      </c>
      <c r="V164" s="2" t="s">
        <v>36</v>
      </c>
      <c r="W164" s="2" t="s">
        <v>37</v>
      </c>
      <c r="X164" s="4" t="s">
        <v>702</v>
      </c>
      <c r="Y164" s="4" t="s">
        <v>2501</v>
      </c>
      <c r="Z164" t="str">
        <f t="shared" si="12"/>
        <v>9779841627778</v>
      </c>
      <c r="AA164" t="str">
        <f t="shared" si="13"/>
        <v>9841627778</v>
      </c>
      <c r="AB164" t="str">
        <f t="shared" si="14"/>
        <v>9841627778</v>
      </c>
      <c r="AC164" t="str">
        <f t="shared" si="15"/>
        <v>+9779841627778</v>
      </c>
      <c r="AD164" t="str">
        <f t="shared" si="16"/>
        <v>Mobile</v>
      </c>
      <c r="AE164" t="str">
        <f t="shared" si="17"/>
        <v>Valid</v>
      </c>
    </row>
    <row r="165" spans="1:31" x14ac:dyDescent="0.3">
      <c r="A165" s="2" t="s">
        <v>698</v>
      </c>
      <c r="B165" s="2" t="s">
        <v>704</v>
      </c>
      <c r="C165" s="2" t="s">
        <v>700</v>
      </c>
      <c r="D165" s="2" t="s">
        <v>662</v>
      </c>
      <c r="E165" s="2" t="s">
        <v>700</v>
      </c>
      <c r="F165" s="2" t="s">
        <v>700</v>
      </c>
      <c r="G165" s="5" t="str" cm="1">
        <f t="array" ref="G165">IFERROR(INDEX(City_Lookup!$B$2:$B$297,MATCH(TRUE,ISNUMBER(SEARCH(City_Lookup!$A$2:$A$297,$F165&amp;" "&amp;$E165)),0)),"Not Available")</f>
        <v>Dhading</v>
      </c>
      <c r="H165" s="5" t="str">
        <f>IFERROR(INDEX(City_Lookup!$E$2:$E$66,MATCH($G165,City_Lookup!$D$2:$D$66,0)),"Not Available")</f>
        <v>Bagmati</v>
      </c>
      <c r="I165" s="2" t="s">
        <v>28</v>
      </c>
      <c r="J165" s="2" t="s">
        <v>29</v>
      </c>
      <c r="K165" s="2" t="s">
        <v>250</v>
      </c>
      <c r="L165" s="2"/>
      <c r="M165" s="2" t="s">
        <v>250</v>
      </c>
      <c r="N165" s="2" t="s">
        <v>681</v>
      </c>
      <c r="O165" s="2">
        <v>2</v>
      </c>
      <c r="P165" s="2" t="s">
        <v>702</v>
      </c>
      <c r="Q165" s="2" t="s">
        <v>703</v>
      </c>
      <c r="R165" s="2" t="s">
        <v>33</v>
      </c>
      <c r="S165" s="2" t="s">
        <v>27</v>
      </c>
      <c r="T165" s="2" t="s">
        <v>34</v>
      </c>
      <c r="U165" s="2" t="s">
        <v>35</v>
      </c>
      <c r="V165" s="2" t="s">
        <v>36</v>
      </c>
      <c r="W165" s="2" t="s">
        <v>37</v>
      </c>
      <c r="X165" s="4" t="s">
        <v>702</v>
      </c>
      <c r="Y165" s="4" t="s">
        <v>2501</v>
      </c>
      <c r="Z165" t="str">
        <f t="shared" si="12"/>
        <v>9779841627778</v>
      </c>
      <c r="AA165" t="str">
        <f t="shared" si="13"/>
        <v>9841627778</v>
      </c>
      <c r="AB165" t="str">
        <f t="shared" si="14"/>
        <v>9841627778</v>
      </c>
      <c r="AC165" t="str">
        <f t="shared" si="15"/>
        <v>+9779841627778</v>
      </c>
      <c r="AD165" t="str">
        <f t="shared" si="16"/>
        <v>Mobile</v>
      </c>
      <c r="AE165" t="str">
        <f t="shared" si="17"/>
        <v>Valid</v>
      </c>
    </row>
    <row r="166" spans="1:31" x14ac:dyDescent="0.3">
      <c r="A166" s="2" t="s">
        <v>705</v>
      </c>
      <c r="B166" s="2" t="s">
        <v>706</v>
      </c>
      <c r="C166" s="2" t="s">
        <v>707</v>
      </c>
      <c r="D166" s="2" t="s">
        <v>662</v>
      </c>
      <c r="E166" s="2" t="s">
        <v>707</v>
      </c>
      <c r="F166" s="2" t="s">
        <v>707</v>
      </c>
      <c r="G166" s="5" t="str" cm="1">
        <f t="array" ref="G166">IFERROR(INDEX(City_Lookup!$B$2:$B$297,MATCH(TRUE,ISNUMBER(SEARCH(City_Lookup!$A$2:$A$297,$F166&amp;" "&amp;$E166)),0)),"Not Available")</f>
        <v>Sindhupalchok</v>
      </c>
      <c r="H166" s="5" t="str">
        <f>IFERROR(INDEX(City_Lookup!$E$2:$E$66,MATCH($G166,City_Lookup!$D$2:$D$66,0)),"Not Available")</f>
        <v>Bagmati</v>
      </c>
      <c r="I166" s="2" t="s">
        <v>663</v>
      </c>
      <c r="J166" s="2" t="s">
        <v>29</v>
      </c>
      <c r="K166" s="2" t="s">
        <v>250</v>
      </c>
      <c r="L166" s="2"/>
      <c r="M166" s="2" t="s">
        <v>250</v>
      </c>
      <c r="N166" s="2" t="s">
        <v>664</v>
      </c>
      <c r="O166" s="2">
        <v>1</v>
      </c>
      <c r="P166" s="2" t="s">
        <v>708</v>
      </c>
      <c r="Q166" s="2" t="s">
        <v>709</v>
      </c>
      <c r="R166" s="2" t="s">
        <v>33</v>
      </c>
      <c r="S166" s="2" t="s">
        <v>27</v>
      </c>
      <c r="T166" s="2" t="s">
        <v>34</v>
      </c>
      <c r="U166" s="2" t="s">
        <v>35</v>
      </c>
      <c r="V166" s="2" t="s">
        <v>36</v>
      </c>
      <c r="W166" s="2" t="s">
        <v>37</v>
      </c>
      <c r="X166" s="4" t="s">
        <v>708</v>
      </c>
      <c r="Y166" s="4" t="s">
        <v>2501</v>
      </c>
      <c r="Z166" t="str">
        <f t="shared" si="12"/>
        <v>9779849470792</v>
      </c>
      <c r="AA166" t="str">
        <f t="shared" si="13"/>
        <v>9849470792</v>
      </c>
      <c r="AB166" t="str">
        <f t="shared" si="14"/>
        <v>9849470792</v>
      </c>
      <c r="AC166" t="str">
        <f t="shared" si="15"/>
        <v>+9779849470792</v>
      </c>
      <c r="AD166" t="str">
        <f t="shared" si="16"/>
        <v>Mobile</v>
      </c>
      <c r="AE166" t="str">
        <f t="shared" si="17"/>
        <v>Valid</v>
      </c>
    </row>
    <row r="167" spans="1:31" x14ac:dyDescent="0.3">
      <c r="A167" s="2" t="s">
        <v>710</v>
      </c>
      <c r="B167" s="2" t="s">
        <v>711</v>
      </c>
      <c r="C167" s="2" t="s">
        <v>712</v>
      </c>
      <c r="D167" s="2" t="s">
        <v>662</v>
      </c>
      <c r="E167" s="2" t="s">
        <v>712</v>
      </c>
      <c r="F167" s="2" t="s">
        <v>712</v>
      </c>
      <c r="G167" s="5" t="str" cm="1">
        <f t="array" ref="G167">IFERROR(INDEX(City_Lookup!$B$2:$B$297,MATCH(TRUE,ISNUMBER(SEARCH(City_Lookup!$A$2:$A$297,$F167&amp;" "&amp;$E167)),0)),"Not Available")</f>
        <v>Dolakha</v>
      </c>
      <c r="H167" s="5" t="str">
        <f>IFERROR(INDEX(City_Lookup!$E$2:$E$66,MATCH($G167,City_Lookup!$D$2:$D$66,0)),"Not Available")</f>
        <v>Bagmati</v>
      </c>
      <c r="I167" s="2" t="s">
        <v>663</v>
      </c>
      <c r="J167" s="2" t="s">
        <v>29</v>
      </c>
      <c r="K167" s="2" t="s">
        <v>250</v>
      </c>
      <c r="L167" s="2"/>
      <c r="M167" s="2" t="s">
        <v>250</v>
      </c>
      <c r="N167" s="2" t="s">
        <v>664</v>
      </c>
      <c r="O167" s="2">
        <v>1</v>
      </c>
      <c r="P167" s="2" t="s">
        <v>713</v>
      </c>
      <c r="Q167" s="2" t="s">
        <v>714</v>
      </c>
      <c r="R167" s="2" t="s">
        <v>33</v>
      </c>
      <c r="S167" s="2" t="s">
        <v>27</v>
      </c>
      <c r="T167" s="2" t="s">
        <v>34</v>
      </c>
      <c r="U167" s="2" t="s">
        <v>35</v>
      </c>
      <c r="V167" s="2" t="s">
        <v>36</v>
      </c>
      <c r="W167" s="2" t="s">
        <v>37</v>
      </c>
      <c r="X167" s="4" t="s">
        <v>713</v>
      </c>
      <c r="Y167" s="4" t="s">
        <v>2501</v>
      </c>
      <c r="Z167" t="str">
        <f t="shared" si="12"/>
        <v>9779844238011</v>
      </c>
      <c r="AA167" t="str">
        <f t="shared" si="13"/>
        <v>9844238011</v>
      </c>
      <c r="AB167" t="str">
        <f t="shared" si="14"/>
        <v>9844238011</v>
      </c>
      <c r="AC167" t="str">
        <f t="shared" si="15"/>
        <v>+9779844238011</v>
      </c>
      <c r="AD167" t="str">
        <f t="shared" si="16"/>
        <v>Mobile</v>
      </c>
      <c r="AE167" t="str">
        <f t="shared" si="17"/>
        <v>Valid</v>
      </c>
    </row>
    <row r="168" spans="1:31" x14ac:dyDescent="0.3">
      <c r="A168" s="2" t="s">
        <v>715</v>
      </c>
      <c r="B168" s="2" t="s">
        <v>716</v>
      </c>
      <c r="C168" s="2" t="s">
        <v>717</v>
      </c>
      <c r="D168" s="2" t="s">
        <v>662</v>
      </c>
      <c r="E168" s="2" t="s">
        <v>717</v>
      </c>
      <c r="F168" s="2" t="s">
        <v>717</v>
      </c>
      <c r="G168" s="5" t="str" cm="1">
        <f t="array" ref="G168">IFERROR(INDEX(City_Lookup!$B$2:$B$297,MATCH(TRUE,ISNUMBER(SEARCH(City_Lookup!$A$2:$A$297,$F168&amp;" "&amp;$E168)),0)),"Not Available")</f>
        <v>Sindhupalchok</v>
      </c>
      <c r="H168" s="5" t="str">
        <f>IFERROR(INDEX(City_Lookup!$E$2:$E$66,MATCH($G168,City_Lookup!$D$2:$D$66,0)),"Not Available")</f>
        <v>Bagmati</v>
      </c>
      <c r="I168" s="2" t="s">
        <v>663</v>
      </c>
      <c r="J168" s="2" t="s">
        <v>29</v>
      </c>
      <c r="K168" s="2" t="s">
        <v>250</v>
      </c>
      <c r="L168" s="2"/>
      <c r="M168" s="2" t="s">
        <v>250</v>
      </c>
      <c r="N168" s="2" t="s">
        <v>664</v>
      </c>
      <c r="O168" s="2">
        <v>1</v>
      </c>
      <c r="P168" s="2" t="s">
        <v>718</v>
      </c>
      <c r="Q168" s="2" t="s">
        <v>719</v>
      </c>
      <c r="R168" s="2" t="s">
        <v>33</v>
      </c>
      <c r="S168" s="2" t="s">
        <v>27</v>
      </c>
      <c r="T168" s="2" t="s">
        <v>34</v>
      </c>
      <c r="U168" s="2" t="s">
        <v>35</v>
      </c>
      <c r="V168" s="2" t="s">
        <v>36</v>
      </c>
      <c r="W168" s="2" t="s">
        <v>37</v>
      </c>
      <c r="X168" s="4" t="s">
        <v>718</v>
      </c>
      <c r="Y168" s="4" t="s">
        <v>2501</v>
      </c>
      <c r="Z168" t="str">
        <f t="shared" si="12"/>
        <v>9779841924445</v>
      </c>
      <c r="AA168" t="str">
        <f t="shared" si="13"/>
        <v>9841924445</v>
      </c>
      <c r="AB168" t="str">
        <f t="shared" si="14"/>
        <v>9841924445</v>
      </c>
      <c r="AC168" t="str">
        <f t="shared" si="15"/>
        <v>+9779841924445</v>
      </c>
      <c r="AD168" t="str">
        <f t="shared" si="16"/>
        <v>Mobile</v>
      </c>
      <c r="AE168" t="str">
        <f t="shared" si="17"/>
        <v>Valid</v>
      </c>
    </row>
    <row r="169" spans="1:31" x14ac:dyDescent="0.3">
      <c r="A169" s="2" t="s">
        <v>720</v>
      </c>
      <c r="B169" s="2" t="s">
        <v>721</v>
      </c>
      <c r="C169" s="2" t="s">
        <v>722</v>
      </c>
      <c r="D169" s="2" t="s">
        <v>662</v>
      </c>
      <c r="E169" s="2" t="s">
        <v>722</v>
      </c>
      <c r="F169" s="2" t="s">
        <v>722</v>
      </c>
      <c r="G169" s="5" t="str" cm="1">
        <f t="array" ref="G169">IFERROR(INDEX(City_Lookup!$B$2:$B$297,MATCH(TRUE,ISNUMBER(SEARCH(City_Lookup!$A$2:$A$297,$F169&amp;" "&amp;$E169)),0)),"Not Available")</f>
        <v>Nuwakot</v>
      </c>
      <c r="H169" s="5" t="str">
        <f>IFERROR(INDEX(City_Lookup!$E$2:$E$66,MATCH($G169,City_Lookup!$D$2:$D$66,0)),"Not Available")</f>
        <v>Bagmati</v>
      </c>
      <c r="I169" s="2" t="s">
        <v>663</v>
      </c>
      <c r="J169" s="2" t="s">
        <v>29</v>
      </c>
      <c r="K169" s="2" t="s">
        <v>250</v>
      </c>
      <c r="L169" s="2"/>
      <c r="M169" s="2" t="s">
        <v>250</v>
      </c>
      <c r="N169" s="2" t="s">
        <v>664</v>
      </c>
      <c r="O169" s="2">
        <v>1</v>
      </c>
      <c r="P169" s="2" t="s">
        <v>724</v>
      </c>
      <c r="Q169" s="2" t="s">
        <v>725</v>
      </c>
      <c r="R169" s="2" t="s">
        <v>33</v>
      </c>
      <c r="S169" s="2" t="s">
        <v>27</v>
      </c>
      <c r="T169" s="2" t="s">
        <v>34</v>
      </c>
      <c r="U169" s="2" t="s">
        <v>35</v>
      </c>
      <c r="V169" s="2" t="s">
        <v>36</v>
      </c>
      <c r="W169" s="2" t="s">
        <v>37</v>
      </c>
      <c r="X169" s="4" t="s">
        <v>724</v>
      </c>
      <c r="Y169" s="4" t="s">
        <v>2501</v>
      </c>
      <c r="Z169" t="str">
        <f t="shared" si="12"/>
        <v>9779751133545</v>
      </c>
      <c r="AA169" t="str">
        <f t="shared" si="13"/>
        <v>9751133545</v>
      </c>
      <c r="AB169" t="str">
        <f t="shared" si="14"/>
        <v>9751133545</v>
      </c>
      <c r="AC169" t="str">
        <f t="shared" si="15"/>
        <v>+9779751133545</v>
      </c>
      <c r="AD169" t="str">
        <f t="shared" si="16"/>
        <v>Mobile</v>
      </c>
      <c r="AE169" t="str">
        <f t="shared" si="17"/>
        <v>Valid</v>
      </c>
    </row>
    <row r="170" spans="1:31" x14ac:dyDescent="0.3">
      <c r="A170" s="2" t="s">
        <v>726</v>
      </c>
      <c r="B170" s="2" t="s">
        <v>727</v>
      </c>
      <c r="C170" s="2" t="s">
        <v>383</v>
      </c>
      <c r="D170" s="2" t="s">
        <v>662</v>
      </c>
      <c r="E170" s="2" t="s">
        <v>383</v>
      </c>
      <c r="F170" s="2" t="s">
        <v>383</v>
      </c>
      <c r="G170" s="5" t="str" cm="1">
        <f t="array" ref="G170">IFERROR(INDEX(City_Lookup!$B$2:$B$297,MATCH(TRUE,ISNUMBER(SEARCH(City_Lookup!$A$2:$A$297,$F170&amp;" "&amp;$E170)),0)),"Not Available")</f>
        <v>Bhaktapur</v>
      </c>
      <c r="H170" s="5" t="str">
        <f>IFERROR(INDEX(City_Lookup!$E$2:$E$66,MATCH($G170,City_Lookup!$D$2:$D$66,0)),"Not Available")</f>
        <v>Bagmati</v>
      </c>
      <c r="I170" s="2" t="s">
        <v>663</v>
      </c>
      <c r="J170" s="2" t="s">
        <v>29</v>
      </c>
      <c r="K170" s="2" t="s">
        <v>250</v>
      </c>
      <c r="L170" s="2"/>
      <c r="M170" s="2" t="s">
        <v>250</v>
      </c>
      <c r="N170" s="2" t="s">
        <v>664</v>
      </c>
      <c r="O170" s="2">
        <v>2</v>
      </c>
      <c r="P170" s="2" t="s">
        <v>728</v>
      </c>
      <c r="Q170" s="2" t="s">
        <v>729</v>
      </c>
      <c r="R170" s="2" t="s">
        <v>33</v>
      </c>
      <c r="S170" s="2" t="s">
        <v>27</v>
      </c>
      <c r="T170" s="2" t="s">
        <v>34</v>
      </c>
      <c r="U170" s="2" t="s">
        <v>35</v>
      </c>
      <c r="V170" s="2" t="s">
        <v>36</v>
      </c>
      <c r="W170" s="2" t="s">
        <v>37</v>
      </c>
      <c r="X170" s="4" t="s">
        <v>728</v>
      </c>
      <c r="Y170" s="4" t="s">
        <v>2501</v>
      </c>
      <c r="Z170" t="str">
        <f t="shared" si="12"/>
        <v>9779801091901</v>
      </c>
      <c r="AA170" t="str">
        <f t="shared" si="13"/>
        <v>9801091901</v>
      </c>
      <c r="AB170" t="str">
        <f t="shared" si="14"/>
        <v>9801091901</v>
      </c>
      <c r="AC170" t="str">
        <f t="shared" si="15"/>
        <v>+9779801091901</v>
      </c>
      <c r="AD170" t="str">
        <f t="shared" si="16"/>
        <v>Mobile</v>
      </c>
      <c r="AE170" t="str">
        <f t="shared" si="17"/>
        <v>Valid</v>
      </c>
    </row>
    <row r="171" spans="1:31" x14ac:dyDescent="0.3">
      <c r="A171" s="2" t="s">
        <v>726</v>
      </c>
      <c r="B171" s="2" t="s">
        <v>730</v>
      </c>
      <c r="C171" s="2" t="s">
        <v>383</v>
      </c>
      <c r="D171" s="2" t="s">
        <v>662</v>
      </c>
      <c r="E171" s="2" t="s">
        <v>383</v>
      </c>
      <c r="F171" s="2" t="s">
        <v>383</v>
      </c>
      <c r="G171" s="5" t="str" cm="1">
        <f t="array" ref="G171">IFERROR(INDEX(City_Lookup!$B$2:$B$297,MATCH(TRUE,ISNUMBER(SEARCH(City_Lookup!$A$2:$A$297,$F171&amp;" "&amp;$E171)),0)),"Not Available")</f>
        <v>Bhaktapur</v>
      </c>
      <c r="H171" s="5" t="str">
        <f>IFERROR(INDEX(City_Lookup!$E$2:$E$66,MATCH($G171,City_Lookup!$D$2:$D$66,0)),"Not Available")</f>
        <v>Bagmati</v>
      </c>
      <c r="I171" s="2" t="s">
        <v>28</v>
      </c>
      <c r="J171" s="2" t="s">
        <v>29</v>
      </c>
      <c r="K171" s="2" t="s">
        <v>250</v>
      </c>
      <c r="L171" s="2"/>
      <c r="M171" s="2" t="s">
        <v>250</v>
      </c>
      <c r="N171" s="2" t="s">
        <v>681</v>
      </c>
      <c r="O171" s="2">
        <v>2</v>
      </c>
      <c r="P171" s="2" t="s">
        <v>728</v>
      </c>
      <c r="Q171" s="2" t="s">
        <v>729</v>
      </c>
      <c r="R171" s="2" t="s">
        <v>33</v>
      </c>
      <c r="S171" s="2" t="s">
        <v>27</v>
      </c>
      <c r="T171" s="2" t="s">
        <v>34</v>
      </c>
      <c r="U171" s="2" t="s">
        <v>35</v>
      </c>
      <c r="V171" s="2" t="s">
        <v>36</v>
      </c>
      <c r="W171" s="2" t="s">
        <v>37</v>
      </c>
      <c r="X171" s="4" t="s">
        <v>728</v>
      </c>
      <c r="Y171" s="4" t="s">
        <v>2501</v>
      </c>
      <c r="Z171" t="str">
        <f t="shared" si="12"/>
        <v>9779801091901</v>
      </c>
      <c r="AA171" t="str">
        <f t="shared" si="13"/>
        <v>9801091901</v>
      </c>
      <c r="AB171" t="str">
        <f t="shared" si="14"/>
        <v>9801091901</v>
      </c>
      <c r="AC171" t="str">
        <f t="shared" si="15"/>
        <v>+9779801091901</v>
      </c>
      <c r="AD171" t="str">
        <f t="shared" si="16"/>
        <v>Mobile</v>
      </c>
      <c r="AE171" t="str">
        <f t="shared" si="17"/>
        <v>Valid</v>
      </c>
    </row>
    <row r="172" spans="1:31" x14ac:dyDescent="0.3">
      <c r="A172" s="2" t="s">
        <v>731</v>
      </c>
      <c r="B172" s="2" t="s">
        <v>732</v>
      </c>
      <c r="C172" s="2" t="s">
        <v>733</v>
      </c>
      <c r="D172" s="2" t="s">
        <v>662</v>
      </c>
      <c r="E172" s="2" t="s">
        <v>733</v>
      </c>
      <c r="F172" s="2" t="s">
        <v>733</v>
      </c>
      <c r="G172" s="5" t="str" cm="1">
        <f t="array" ref="G172">IFERROR(INDEX(City_Lookup!$B$2:$B$297,MATCH(TRUE,ISNUMBER(SEARCH(City_Lookup!$A$2:$A$297,$F172&amp;" "&amp;$E172)),0)),"Not Available")</f>
        <v>Kathmandu</v>
      </c>
      <c r="H172" s="5" t="str">
        <f>IFERROR(INDEX(City_Lookup!$E$2:$E$66,MATCH($G172,City_Lookup!$D$2:$D$66,0)),"Not Available")</f>
        <v>Bagmati</v>
      </c>
      <c r="I172" s="2" t="s">
        <v>663</v>
      </c>
      <c r="J172" s="2" t="s">
        <v>29</v>
      </c>
      <c r="K172" s="2" t="s">
        <v>250</v>
      </c>
      <c r="L172" s="2"/>
      <c r="M172" s="2" t="s">
        <v>250</v>
      </c>
      <c r="N172" s="2" t="s">
        <v>664</v>
      </c>
      <c r="O172" s="2">
        <v>1</v>
      </c>
      <c r="P172" s="2" t="s">
        <v>735</v>
      </c>
      <c r="Q172" s="2" t="s">
        <v>736</v>
      </c>
      <c r="R172" s="2" t="s">
        <v>33</v>
      </c>
      <c r="S172" s="2" t="s">
        <v>27</v>
      </c>
      <c r="T172" s="2" t="s">
        <v>34</v>
      </c>
      <c r="U172" s="2" t="s">
        <v>35</v>
      </c>
      <c r="V172" s="2" t="s">
        <v>36</v>
      </c>
      <c r="W172" s="2" t="s">
        <v>37</v>
      </c>
      <c r="X172" s="4" t="s">
        <v>735</v>
      </c>
      <c r="Y172" s="4" t="s">
        <v>2501</v>
      </c>
      <c r="Z172" t="str">
        <f t="shared" si="12"/>
        <v>9779851075116</v>
      </c>
      <c r="AA172" t="str">
        <f t="shared" si="13"/>
        <v>9851075116</v>
      </c>
      <c r="AB172" t="str">
        <f t="shared" si="14"/>
        <v>9851075116</v>
      </c>
      <c r="AC172" t="str">
        <f t="shared" si="15"/>
        <v>+9779851075116</v>
      </c>
      <c r="AD172" t="str">
        <f t="shared" si="16"/>
        <v>Mobile</v>
      </c>
      <c r="AE172" t="str">
        <f t="shared" si="17"/>
        <v>Valid</v>
      </c>
    </row>
    <row r="173" spans="1:31" x14ac:dyDescent="0.3">
      <c r="A173" s="2" t="s">
        <v>737</v>
      </c>
      <c r="B173" s="2" t="s">
        <v>738</v>
      </c>
      <c r="C173" s="2" t="s">
        <v>739</v>
      </c>
      <c r="D173" s="2" t="s">
        <v>662</v>
      </c>
      <c r="E173" s="2" t="s">
        <v>739</v>
      </c>
      <c r="F173" s="2" t="s">
        <v>739</v>
      </c>
      <c r="G173" s="5" t="str" cm="1">
        <f t="array" ref="G173">IFERROR(INDEX(City_Lookup!$B$2:$B$297,MATCH(TRUE,ISNUMBER(SEARCH(City_Lookup!$A$2:$A$297,$F173&amp;" "&amp;$E173)),0)),"Not Available")</f>
        <v>Ramechhap</v>
      </c>
      <c r="H173" s="5" t="str">
        <f>IFERROR(INDEX(City_Lookup!$E$2:$E$66,MATCH($G173,City_Lookup!$D$2:$D$66,0)),"Not Available")</f>
        <v>Bagmati</v>
      </c>
      <c r="I173" s="2" t="s">
        <v>663</v>
      </c>
      <c r="J173" s="2" t="s">
        <v>29</v>
      </c>
      <c r="K173" s="2" t="s">
        <v>250</v>
      </c>
      <c r="L173" s="2"/>
      <c r="M173" s="2" t="s">
        <v>250</v>
      </c>
      <c r="N173" s="2" t="s">
        <v>664</v>
      </c>
      <c r="O173" s="2">
        <v>1</v>
      </c>
      <c r="P173" s="2" t="s">
        <v>742</v>
      </c>
      <c r="Q173" s="2" t="s">
        <v>743</v>
      </c>
      <c r="R173" s="2" t="s">
        <v>33</v>
      </c>
      <c r="S173" s="2" t="s">
        <v>27</v>
      </c>
      <c r="T173" s="2" t="s">
        <v>34</v>
      </c>
      <c r="U173" s="2" t="s">
        <v>35</v>
      </c>
      <c r="V173" s="2" t="s">
        <v>36</v>
      </c>
      <c r="W173" s="2" t="s">
        <v>37</v>
      </c>
      <c r="X173" s="4" t="s">
        <v>742</v>
      </c>
      <c r="Y173" s="4" t="s">
        <v>2501</v>
      </c>
      <c r="Z173" t="str">
        <f t="shared" si="12"/>
        <v>9779854040400</v>
      </c>
      <c r="AA173" t="str">
        <f t="shared" si="13"/>
        <v>9854040400</v>
      </c>
      <c r="AB173" t="str">
        <f t="shared" si="14"/>
        <v>9854040400</v>
      </c>
      <c r="AC173" t="str">
        <f t="shared" si="15"/>
        <v>+9779854040400</v>
      </c>
      <c r="AD173" t="str">
        <f t="shared" si="16"/>
        <v>Mobile</v>
      </c>
      <c r="AE173" t="str">
        <f t="shared" si="17"/>
        <v>Valid</v>
      </c>
    </row>
    <row r="174" spans="1:31" x14ac:dyDescent="0.3">
      <c r="A174" s="2" t="s">
        <v>744</v>
      </c>
      <c r="B174" s="2" t="s">
        <v>745</v>
      </c>
      <c r="C174" s="2" t="s">
        <v>746</v>
      </c>
      <c r="D174" s="2" t="s">
        <v>662</v>
      </c>
      <c r="E174" s="2" t="s">
        <v>746</v>
      </c>
      <c r="F174" s="2" t="s">
        <v>746</v>
      </c>
      <c r="G174" s="5" t="str" cm="1">
        <f t="array" ref="G174">IFERROR(INDEX(City_Lookup!$B$2:$B$297,MATCH(TRUE,ISNUMBER(SEARCH(City_Lookup!$A$2:$A$297,$F174&amp;" "&amp;$E174)),0)),"Not Available")</f>
        <v>Sindhuli</v>
      </c>
      <c r="H174" s="5" t="str">
        <f>IFERROR(INDEX(City_Lookup!$E$2:$E$66,MATCH($G174,City_Lookup!$D$2:$D$66,0)),"Not Available")</f>
        <v>Bagmati</v>
      </c>
      <c r="I174" s="2" t="s">
        <v>663</v>
      </c>
      <c r="J174" s="2" t="s">
        <v>29</v>
      </c>
      <c r="K174" s="2" t="s">
        <v>250</v>
      </c>
      <c r="L174" s="2"/>
      <c r="M174" s="2" t="s">
        <v>250</v>
      </c>
      <c r="N174" s="2" t="s">
        <v>664</v>
      </c>
      <c r="O174" s="2">
        <v>1</v>
      </c>
      <c r="P174" s="2" t="s">
        <v>747</v>
      </c>
      <c r="Q174" s="2" t="s">
        <v>748</v>
      </c>
      <c r="R174" s="2" t="s">
        <v>33</v>
      </c>
      <c r="S174" s="2" t="s">
        <v>27</v>
      </c>
      <c r="T174" s="2" t="s">
        <v>34</v>
      </c>
      <c r="U174" s="2" t="s">
        <v>35</v>
      </c>
      <c r="V174" s="2" t="s">
        <v>36</v>
      </c>
      <c r="W174" s="2" t="s">
        <v>37</v>
      </c>
      <c r="X174" s="4" t="s">
        <v>747</v>
      </c>
      <c r="Y174" s="4" t="s">
        <v>2501</v>
      </c>
      <c r="Z174" t="str">
        <f t="shared" si="12"/>
        <v>9779815838507</v>
      </c>
      <c r="AA174" t="str">
        <f t="shared" si="13"/>
        <v>9815838507</v>
      </c>
      <c r="AB174" t="str">
        <f t="shared" si="14"/>
        <v>9815838507</v>
      </c>
      <c r="AC174" t="str">
        <f t="shared" si="15"/>
        <v>+9779815838507</v>
      </c>
      <c r="AD174" t="str">
        <f t="shared" si="16"/>
        <v>Mobile</v>
      </c>
      <c r="AE174" t="str">
        <f t="shared" si="17"/>
        <v>Valid</v>
      </c>
    </row>
    <row r="175" spans="1:31" x14ac:dyDescent="0.3">
      <c r="A175" s="2" t="s">
        <v>749</v>
      </c>
      <c r="B175" s="2" t="s">
        <v>750</v>
      </c>
      <c r="C175" s="2" t="s">
        <v>751</v>
      </c>
      <c r="D175" s="2" t="s">
        <v>662</v>
      </c>
      <c r="E175" s="2" t="s">
        <v>751</v>
      </c>
      <c r="F175" s="2" t="s">
        <v>751</v>
      </c>
      <c r="G175" s="5" t="str" cm="1">
        <f t="array" ref="G175">IFERROR(INDEX(City_Lookup!$B$2:$B$297,MATCH(TRUE,ISNUMBER(SEARCH(City_Lookup!$A$2:$A$297,$F175&amp;" "&amp;$E175)),0)),"Not Available")</f>
        <v>Chitwan</v>
      </c>
      <c r="H175" s="5" t="str">
        <f>IFERROR(INDEX(City_Lookup!$E$2:$E$66,MATCH($G175,City_Lookup!$D$2:$D$66,0)),"Not Available")</f>
        <v>Bagmati</v>
      </c>
      <c r="I175" s="2" t="s">
        <v>663</v>
      </c>
      <c r="J175" s="2" t="s">
        <v>29</v>
      </c>
      <c r="K175" s="2" t="s">
        <v>250</v>
      </c>
      <c r="L175" s="2"/>
      <c r="M175" s="2" t="s">
        <v>250</v>
      </c>
      <c r="N175" s="2" t="s">
        <v>664</v>
      </c>
      <c r="O175" s="2">
        <v>2</v>
      </c>
      <c r="P175" s="2" t="s">
        <v>752</v>
      </c>
      <c r="Q175" s="2" t="s">
        <v>753</v>
      </c>
      <c r="R175" s="2" t="s">
        <v>33</v>
      </c>
      <c r="S175" s="2" t="s">
        <v>27</v>
      </c>
      <c r="T175" s="2" t="s">
        <v>34</v>
      </c>
      <c r="U175" s="2" t="s">
        <v>35</v>
      </c>
      <c r="V175" s="2" t="s">
        <v>36</v>
      </c>
      <c r="W175" s="2" t="s">
        <v>37</v>
      </c>
      <c r="X175" s="4" t="s">
        <v>752</v>
      </c>
      <c r="Y175" s="4" t="s">
        <v>2501</v>
      </c>
      <c r="Z175" t="str">
        <f t="shared" si="12"/>
        <v>9779801360570</v>
      </c>
      <c r="AA175" t="str">
        <f t="shared" si="13"/>
        <v>9801360570</v>
      </c>
      <c r="AB175" t="str">
        <f t="shared" si="14"/>
        <v>9801360570</v>
      </c>
      <c r="AC175" t="str">
        <f t="shared" si="15"/>
        <v>+9779801360570</v>
      </c>
      <c r="AD175" t="str">
        <f t="shared" si="16"/>
        <v>Mobile</v>
      </c>
      <c r="AE175" t="str">
        <f t="shared" si="17"/>
        <v>Valid</v>
      </c>
    </row>
    <row r="176" spans="1:31" x14ac:dyDescent="0.3">
      <c r="A176" s="2" t="s">
        <v>749</v>
      </c>
      <c r="B176" s="2" t="s">
        <v>754</v>
      </c>
      <c r="C176" s="2" t="s">
        <v>751</v>
      </c>
      <c r="D176" s="2" t="s">
        <v>662</v>
      </c>
      <c r="E176" s="2" t="s">
        <v>751</v>
      </c>
      <c r="F176" s="2" t="s">
        <v>751</v>
      </c>
      <c r="G176" s="5" t="str" cm="1">
        <f t="array" ref="G176">IFERROR(INDEX(City_Lookup!$B$2:$B$297,MATCH(TRUE,ISNUMBER(SEARCH(City_Lookup!$A$2:$A$297,$F176&amp;" "&amp;$E176)),0)),"Not Available")</f>
        <v>Chitwan</v>
      </c>
      <c r="H176" s="5" t="str">
        <f>IFERROR(INDEX(City_Lookup!$E$2:$E$66,MATCH($G176,City_Lookup!$D$2:$D$66,0)),"Not Available")</f>
        <v>Bagmati</v>
      </c>
      <c r="I176" s="2" t="s">
        <v>28</v>
      </c>
      <c r="J176" s="2" t="s">
        <v>29</v>
      </c>
      <c r="K176" s="2" t="s">
        <v>250</v>
      </c>
      <c r="L176" s="2"/>
      <c r="M176" s="2" t="s">
        <v>250</v>
      </c>
      <c r="N176" s="2" t="s">
        <v>681</v>
      </c>
      <c r="O176" s="2">
        <v>2</v>
      </c>
      <c r="P176" s="2" t="s">
        <v>752</v>
      </c>
      <c r="Q176" s="2" t="s">
        <v>753</v>
      </c>
      <c r="R176" s="2" t="s">
        <v>33</v>
      </c>
      <c r="S176" s="2" t="s">
        <v>27</v>
      </c>
      <c r="T176" s="2" t="s">
        <v>34</v>
      </c>
      <c r="U176" s="2" t="s">
        <v>35</v>
      </c>
      <c r="V176" s="2" t="s">
        <v>36</v>
      </c>
      <c r="W176" s="2" t="s">
        <v>37</v>
      </c>
      <c r="X176" s="4" t="s">
        <v>752</v>
      </c>
      <c r="Y176" s="4" t="s">
        <v>2501</v>
      </c>
      <c r="Z176" t="str">
        <f t="shared" si="12"/>
        <v>9779801360570</v>
      </c>
      <c r="AA176" t="str">
        <f t="shared" si="13"/>
        <v>9801360570</v>
      </c>
      <c r="AB176" t="str">
        <f t="shared" si="14"/>
        <v>9801360570</v>
      </c>
      <c r="AC176" t="str">
        <f t="shared" si="15"/>
        <v>+9779801360570</v>
      </c>
      <c r="AD176" t="str">
        <f t="shared" si="16"/>
        <v>Mobile</v>
      </c>
      <c r="AE176" t="str">
        <f t="shared" si="17"/>
        <v>Valid</v>
      </c>
    </row>
    <row r="177" spans="1:31" x14ac:dyDescent="0.3">
      <c r="A177" s="2" t="s">
        <v>755</v>
      </c>
      <c r="B177" s="2" t="s">
        <v>756</v>
      </c>
      <c r="C177" s="2" t="s">
        <v>144</v>
      </c>
      <c r="D177" s="2" t="s">
        <v>662</v>
      </c>
      <c r="E177" s="2" t="s">
        <v>144</v>
      </c>
      <c r="F177" s="2" t="s">
        <v>144</v>
      </c>
      <c r="G177" s="5" t="str" cm="1">
        <f t="array" ref="G177">IFERROR(INDEX(City_Lookup!$B$2:$B$297,MATCH(TRUE,ISNUMBER(SEARCH(City_Lookup!$A$2:$A$297,$F177&amp;" "&amp;$E177)),0)),"Not Available")</f>
        <v>Makwanpur</v>
      </c>
      <c r="H177" s="5" t="str">
        <f>IFERROR(INDEX(City_Lookup!$E$2:$E$66,MATCH($G177,City_Lookup!$D$2:$D$66,0)),"Not Available")</f>
        <v>Bagmati</v>
      </c>
      <c r="I177" s="2" t="s">
        <v>663</v>
      </c>
      <c r="J177" s="2" t="s">
        <v>29</v>
      </c>
      <c r="K177" s="2" t="s">
        <v>250</v>
      </c>
      <c r="L177" s="2"/>
      <c r="M177" s="2" t="s">
        <v>250</v>
      </c>
      <c r="N177" s="2" t="s">
        <v>664</v>
      </c>
      <c r="O177" s="2">
        <v>2</v>
      </c>
      <c r="P177" s="2" t="s">
        <v>757</v>
      </c>
      <c r="Q177" s="2" t="s">
        <v>758</v>
      </c>
      <c r="R177" s="2" t="s">
        <v>33</v>
      </c>
      <c r="S177" s="2" t="s">
        <v>27</v>
      </c>
      <c r="T177" s="2" t="s">
        <v>34</v>
      </c>
      <c r="U177" s="2" t="s">
        <v>35</v>
      </c>
      <c r="V177" s="2" t="s">
        <v>36</v>
      </c>
      <c r="W177" s="2" t="s">
        <v>37</v>
      </c>
      <c r="X177" s="4" t="s">
        <v>757</v>
      </c>
      <c r="Y177" s="4" t="s">
        <v>2501</v>
      </c>
      <c r="Z177" t="str">
        <f t="shared" si="12"/>
        <v>9779811260276</v>
      </c>
      <c r="AA177" t="str">
        <f t="shared" si="13"/>
        <v>9811260276</v>
      </c>
      <c r="AB177" t="str">
        <f t="shared" si="14"/>
        <v>9811260276</v>
      </c>
      <c r="AC177" t="str">
        <f t="shared" si="15"/>
        <v>+9779811260276</v>
      </c>
      <c r="AD177" t="str">
        <f t="shared" si="16"/>
        <v>Mobile</v>
      </c>
      <c r="AE177" t="str">
        <f t="shared" si="17"/>
        <v>Valid</v>
      </c>
    </row>
    <row r="178" spans="1:31" x14ac:dyDescent="0.3">
      <c r="A178" s="2" t="s">
        <v>755</v>
      </c>
      <c r="B178" s="2" t="s">
        <v>759</v>
      </c>
      <c r="C178" s="2" t="s">
        <v>144</v>
      </c>
      <c r="D178" s="2" t="s">
        <v>662</v>
      </c>
      <c r="E178" s="2" t="s">
        <v>144</v>
      </c>
      <c r="F178" s="2" t="s">
        <v>144</v>
      </c>
      <c r="G178" s="5" t="str" cm="1">
        <f t="array" ref="G178">IFERROR(INDEX(City_Lookup!$B$2:$B$297,MATCH(TRUE,ISNUMBER(SEARCH(City_Lookup!$A$2:$A$297,$F178&amp;" "&amp;$E178)),0)),"Not Available")</f>
        <v>Makwanpur</v>
      </c>
      <c r="H178" s="5" t="str">
        <f>IFERROR(INDEX(City_Lookup!$E$2:$E$66,MATCH($G178,City_Lookup!$D$2:$D$66,0)),"Not Available")</f>
        <v>Bagmati</v>
      </c>
      <c r="I178" s="2" t="s">
        <v>28</v>
      </c>
      <c r="J178" s="2" t="s">
        <v>29</v>
      </c>
      <c r="K178" s="2" t="s">
        <v>250</v>
      </c>
      <c r="L178" s="2"/>
      <c r="M178" s="2" t="s">
        <v>250</v>
      </c>
      <c r="N178" s="2" t="s">
        <v>681</v>
      </c>
      <c r="O178" s="2">
        <v>2</v>
      </c>
      <c r="P178" s="2" t="s">
        <v>757</v>
      </c>
      <c r="Q178" s="2" t="s">
        <v>758</v>
      </c>
      <c r="R178" s="2" t="s">
        <v>33</v>
      </c>
      <c r="S178" s="2" t="s">
        <v>27</v>
      </c>
      <c r="T178" s="2" t="s">
        <v>34</v>
      </c>
      <c r="U178" s="2" t="s">
        <v>35</v>
      </c>
      <c r="V178" s="2" t="s">
        <v>36</v>
      </c>
      <c r="W178" s="2" t="s">
        <v>37</v>
      </c>
      <c r="X178" s="4" t="s">
        <v>757</v>
      </c>
      <c r="Y178" s="4" t="s">
        <v>2501</v>
      </c>
      <c r="Z178" t="str">
        <f t="shared" si="12"/>
        <v>9779811260276</v>
      </c>
      <c r="AA178" t="str">
        <f t="shared" si="13"/>
        <v>9811260276</v>
      </c>
      <c r="AB178" t="str">
        <f t="shared" si="14"/>
        <v>9811260276</v>
      </c>
      <c r="AC178" t="str">
        <f t="shared" si="15"/>
        <v>+9779811260276</v>
      </c>
      <c r="AD178" t="str">
        <f t="shared" si="16"/>
        <v>Mobile</v>
      </c>
      <c r="AE178" t="str">
        <f t="shared" si="17"/>
        <v>Valid</v>
      </c>
    </row>
    <row r="179" spans="1:31" x14ac:dyDescent="0.3">
      <c r="A179" s="2" t="s">
        <v>760</v>
      </c>
      <c r="B179" s="2" t="s">
        <v>761</v>
      </c>
      <c r="C179" s="2" t="s">
        <v>762</v>
      </c>
      <c r="D179" s="2" t="s">
        <v>662</v>
      </c>
      <c r="E179" s="2" t="s">
        <v>762</v>
      </c>
      <c r="F179" s="2" t="s">
        <v>762</v>
      </c>
      <c r="G179" s="5" t="str" cm="1">
        <f t="array" ref="G179">IFERROR(INDEX(City_Lookup!$B$2:$B$297,MATCH(TRUE,ISNUMBER(SEARCH(City_Lookup!$A$2:$A$297,$F179&amp;" "&amp;$E179)),0)),"Not Available")</f>
        <v>Sindhuli</v>
      </c>
      <c r="H179" s="5" t="str">
        <f>IFERROR(INDEX(City_Lookup!$E$2:$E$66,MATCH($G179,City_Lookup!$D$2:$D$66,0)),"Not Available")</f>
        <v>Bagmati</v>
      </c>
      <c r="I179" s="2" t="s">
        <v>663</v>
      </c>
      <c r="J179" s="2" t="s">
        <v>29</v>
      </c>
      <c r="K179" s="2" t="s">
        <v>250</v>
      </c>
      <c r="L179" s="2"/>
      <c r="M179" s="2" t="s">
        <v>250</v>
      </c>
      <c r="N179" s="2" t="s">
        <v>664</v>
      </c>
      <c r="O179" s="2">
        <v>2</v>
      </c>
      <c r="P179" s="2" t="s">
        <v>763</v>
      </c>
      <c r="Q179" s="2" t="s">
        <v>764</v>
      </c>
      <c r="R179" s="2" t="s">
        <v>33</v>
      </c>
      <c r="S179" s="2" t="s">
        <v>27</v>
      </c>
      <c r="T179" s="2" t="s">
        <v>34</v>
      </c>
      <c r="U179" s="2" t="s">
        <v>35</v>
      </c>
      <c r="V179" s="2" t="s">
        <v>36</v>
      </c>
      <c r="W179" s="2" t="s">
        <v>37</v>
      </c>
      <c r="X179" s="4" t="s">
        <v>763</v>
      </c>
      <c r="Y179" s="4" t="s">
        <v>2501</v>
      </c>
      <c r="Z179" t="str">
        <f t="shared" si="12"/>
        <v>9779851006433</v>
      </c>
      <c r="AA179" t="str">
        <f t="shared" si="13"/>
        <v>9851006433</v>
      </c>
      <c r="AB179" t="str">
        <f t="shared" si="14"/>
        <v>9851006433</v>
      </c>
      <c r="AC179" t="str">
        <f t="shared" si="15"/>
        <v>+9779851006433</v>
      </c>
      <c r="AD179" t="str">
        <f t="shared" si="16"/>
        <v>Mobile</v>
      </c>
      <c r="AE179" t="str">
        <f t="shared" si="17"/>
        <v>Valid</v>
      </c>
    </row>
    <row r="180" spans="1:31" x14ac:dyDescent="0.3">
      <c r="A180" s="2" t="s">
        <v>760</v>
      </c>
      <c r="B180" s="2" t="s">
        <v>765</v>
      </c>
      <c r="C180" s="2" t="s">
        <v>762</v>
      </c>
      <c r="D180" s="2" t="s">
        <v>662</v>
      </c>
      <c r="E180" s="2" t="s">
        <v>762</v>
      </c>
      <c r="F180" s="2" t="s">
        <v>762</v>
      </c>
      <c r="G180" s="5" t="str" cm="1">
        <f t="array" ref="G180">IFERROR(INDEX(City_Lookup!$B$2:$B$297,MATCH(TRUE,ISNUMBER(SEARCH(City_Lookup!$A$2:$A$297,$F180&amp;" "&amp;$E180)),0)),"Not Available")</f>
        <v>Sindhuli</v>
      </c>
      <c r="H180" s="5" t="str">
        <f>IFERROR(INDEX(City_Lookup!$E$2:$E$66,MATCH($G180,City_Lookup!$D$2:$D$66,0)),"Not Available")</f>
        <v>Bagmati</v>
      </c>
      <c r="I180" s="2" t="s">
        <v>28</v>
      </c>
      <c r="J180" s="2" t="s">
        <v>29</v>
      </c>
      <c r="K180" s="2" t="s">
        <v>250</v>
      </c>
      <c r="L180" s="2"/>
      <c r="M180" s="2" t="s">
        <v>250</v>
      </c>
      <c r="N180" s="2" t="s">
        <v>681</v>
      </c>
      <c r="O180" s="2">
        <v>2</v>
      </c>
      <c r="P180" s="2" t="s">
        <v>763</v>
      </c>
      <c r="Q180" s="2" t="s">
        <v>764</v>
      </c>
      <c r="R180" s="2" t="s">
        <v>33</v>
      </c>
      <c r="S180" s="2" t="s">
        <v>27</v>
      </c>
      <c r="T180" s="2" t="s">
        <v>34</v>
      </c>
      <c r="U180" s="2" t="s">
        <v>35</v>
      </c>
      <c r="V180" s="2" t="s">
        <v>36</v>
      </c>
      <c r="W180" s="2" t="s">
        <v>37</v>
      </c>
      <c r="X180" s="4" t="s">
        <v>763</v>
      </c>
      <c r="Y180" s="4" t="s">
        <v>2501</v>
      </c>
      <c r="Z180" t="str">
        <f t="shared" si="12"/>
        <v>9779851006433</v>
      </c>
      <c r="AA180" t="str">
        <f t="shared" si="13"/>
        <v>9851006433</v>
      </c>
      <c r="AB180" t="str">
        <f t="shared" si="14"/>
        <v>9851006433</v>
      </c>
      <c r="AC180" t="str">
        <f t="shared" si="15"/>
        <v>+9779851006433</v>
      </c>
      <c r="AD180" t="str">
        <f t="shared" si="16"/>
        <v>Mobile</v>
      </c>
      <c r="AE180" t="str">
        <f t="shared" si="17"/>
        <v>Valid</v>
      </c>
    </row>
    <row r="181" spans="1:31" x14ac:dyDescent="0.3">
      <c r="A181" s="2" t="s">
        <v>766</v>
      </c>
      <c r="B181" s="2" t="s">
        <v>767</v>
      </c>
      <c r="C181" s="2" t="s">
        <v>768</v>
      </c>
      <c r="D181" s="2" t="s">
        <v>662</v>
      </c>
      <c r="E181" s="2" t="s">
        <v>768</v>
      </c>
      <c r="F181" s="2" t="s">
        <v>768</v>
      </c>
      <c r="G181" s="5" t="str" cm="1">
        <f t="array" ref="G181">IFERROR(INDEX(City_Lookup!$B$2:$B$297,MATCH(TRUE,ISNUMBER(SEARCH(City_Lookup!$A$2:$A$297,$F181&amp;" "&amp;$E181)),0)),"Not Available")</f>
        <v>Lalitpur</v>
      </c>
      <c r="H181" s="5" t="str">
        <f>IFERROR(INDEX(City_Lookup!$E$2:$E$66,MATCH($G181,City_Lookup!$D$2:$D$66,0)),"Not Available")</f>
        <v>Bagmati</v>
      </c>
      <c r="I181" s="2" t="s">
        <v>663</v>
      </c>
      <c r="J181" s="2" t="s">
        <v>29</v>
      </c>
      <c r="K181" s="2" t="s">
        <v>250</v>
      </c>
      <c r="L181" s="2"/>
      <c r="M181" s="2" t="s">
        <v>250</v>
      </c>
      <c r="N181" s="2" t="s">
        <v>664</v>
      </c>
      <c r="O181" s="2">
        <v>1</v>
      </c>
      <c r="P181" s="2" t="s">
        <v>769</v>
      </c>
      <c r="Q181" s="2" t="s">
        <v>770</v>
      </c>
      <c r="R181" s="2" t="s">
        <v>33</v>
      </c>
      <c r="S181" s="2" t="s">
        <v>27</v>
      </c>
      <c r="T181" s="2" t="s">
        <v>34</v>
      </c>
      <c r="U181" s="2" t="s">
        <v>35</v>
      </c>
      <c r="V181" s="2" t="s">
        <v>36</v>
      </c>
      <c r="W181" s="2" t="s">
        <v>37</v>
      </c>
      <c r="X181" s="4" t="s">
        <v>769</v>
      </c>
      <c r="Y181" s="4" t="s">
        <v>2501</v>
      </c>
      <c r="Z181" t="str">
        <f t="shared" si="12"/>
        <v>9779849320165</v>
      </c>
      <c r="AA181" t="str">
        <f t="shared" si="13"/>
        <v>9849320165</v>
      </c>
      <c r="AB181" t="str">
        <f t="shared" si="14"/>
        <v>9849320165</v>
      </c>
      <c r="AC181" t="str">
        <f t="shared" si="15"/>
        <v>+9779849320165</v>
      </c>
      <c r="AD181" t="str">
        <f t="shared" si="16"/>
        <v>Mobile</v>
      </c>
      <c r="AE181" t="str">
        <f t="shared" si="17"/>
        <v>Valid</v>
      </c>
    </row>
    <row r="182" spans="1:31" x14ac:dyDescent="0.3">
      <c r="A182" s="2" t="s">
        <v>771</v>
      </c>
      <c r="B182" s="2" t="s">
        <v>772</v>
      </c>
      <c r="C182" s="2" t="s">
        <v>773</v>
      </c>
      <c r="D182" s="2" t="s">
        <v>662</v>
      </c>
      <c r="E182" s="2" t="s">
        <v>773</v>
      </c>
      <c r="F182" s="2" t="s">
        <v>773</v>
      </c>
      <c r="G182" s="5" t="str" cm="1">
        <f t="array" ref="G182">IFERROR(INDEX(City_Lookup!$B$2:$B$297,MATCH(TRUE,ISNUMBER(SEARCH(City_Lookup!$A$2:$A$297,$F182&amp;" "&amp;$E182)),0)),"Not Available")</f>
        <v>Bhaktapur</v>
      </c>
      <c r="H182" s="5" t="str">
        <f>IFERROR(INDEX(City_Lookup!$E$2:$E$66,MATCH($G182,City_Lookup!$D$2:$D$66,0)),"Not Available")</f>
        <v>Bagmati</v>
      </c>
      <c r="I182" s="2" t="s">
        <v>663</v>
      </c>
      <c r="J182" s="2" t="s">
        <v>29</v>
      </c>
      <c r="K182" s="2" t="s">
        <v>250</v>
      </c>
      <c r="L182" s="2"/>
      <c r="M182" s="2" t="s">
        <v>250</v>
      </c>
      <c r="N182" s="2" t="s">
        <v>664</v>
      </c>
      <c r="O182" s="2">
        <v>1</v>
      </c>
      <c r="P182" s="2" t="s">
        <v>775</v>
      </c>
      <c r="Q182" s="2" t="s">
        <v>776</v>
      </c>
      <c r="R182" s="2" t="s">
        <v>33</v>
      </c>
      <c r="S182" s="2" t="s">
        <v>27</v>
      </c>
      <c r="T182" s="2" t="s">
        <v>34</v>
      </c>
      <c r="U182" s="2" t="s">
        <v>35</v>
      </c>
      <c r="V182" s="2" t="s">
        <v>36</v>
      </c>
      <c r="W182" s="2" t="s">
        <v>37</v>
      </c>
      <c r="X182" s="4" t="s">
        <v>775</v>
      </c>
      <c r="Y182" s="4" t="s">
        <v>2501</v>
      </c>
      <c r="Z182" t="str">
        <f t="shared" si="12"/>
        <v>9779841028754</v>
      </c>
      <c r="AA182" t="str">
        <f t="shared" si="13"/>
        <v>9841028754</v>
      </c>
      <c r="AB182" t="str">
        <f t="shared" si="14"/>
        <v>9841028754</v>
      </c>
      <c r="AC182" t="str">
        <f t="shared" si="15"/>
        <v>+9779841028754</v>
      </c>
      <c r="AD182" t="str">
        <f t="shared" si="16"/>
        <v>Mobile</v>
      </c>
      <c r="AE182" t="str">
        <f t="shared" si="17"/>
        <v>Valid</v>
      </c>
    </row>
    <row r="183" spans="1:31" x14ac:dyDescent="0.3">
      <c r="A183" s="2" t="s">
        <v>777</v>
      </c>
      <c r="B183" s="2" t="s">
        <v>778</v>
      </c>
      <c r="C183" s="2" t="s">
        <v>779</v>
      </c>
      <c r="D183" s="2" t="s">
        <v>662</v>
      </c>
      <c r="E183" s="2" t="s">
        <v>779</v>
      </c>
      <c r="F183" s="2" t="s">
        <v>779</v>
      </c>
      <c r="G183" s="5" t="str" cm="1">
        <f t="array" ref="G183">IFERROR(INDEX(City_Lookup!$B$2:$B$297,MATCH(TRUE,ISNUMBER(SEARCH(City_Lookup!$A$2:$A$297,$F183&amp;" "&amp;$E183)),0)),"Not Available")</f>
        <v>Bara</v>
      </c>
      <c r="H183" s="5" t="str">
        <f>IFERROR(INDEX(City_Lookup!$E$2:$E$66,MATCH($G183,City_Lookup!$D$2:$D$66,0)),"Not Available")</f>
        <v>Madhesh</v>
      </c>
      <c r="I183" s="2" t="s">
        <v>28</v>
      </c>
      <c r="J183" s="2" t="s">
        <v>29</v>
      </c>
      <c r="K183" s="2" t="s">
        <v>250</v>
      </c>
      <c r="L183" s="2"/>
      <c r="M183" s="2" t="s">
        <v>250</v>
      </c>
      <c r="N183" s="2" t="s">
        <v>681</v>
      </c>
      <c r="O183" s="2">
        <v>2</v>
      </c>
      <c r="P183" s="2" t="s">
        <v>769</v>
      </c>
      <c r="Q183" s="2" t="s">
        <v>782</v>
      </c>
      <c r="R183" s="2" t="s">
        <v>33</v>
      </c>
      <c r="S183" s="2" t="s">
        <v>27</v>
      </c>
      <c r="T183" s="2" t="s">
        <v>34</v>
      </c>
      <c r="U183" s="2" t="s">
        <v>35</v>
      </c>
      <c r="V183" s="2" t="s">
        <v>36</v>
      </c>
      <c r="W183" s="2" t="s">
        <v>37</v>
      </c>
      <c r="X183" s="4" t="s">
        <v>769</v>
      </c>
      <c r="Y183" s="4" t="s">
        <v>2501</v>
      </c>
      <c r="Z183" t="str">
        <f t="shared" si="12"/>
        <v>9779849320165</v>
      </c>
      <c r="AA183" t="str">
        <f t="shared" si="13"/>
        <v>9849320165</v>
      </c>
      <c r="AB183" t="str">
        <f t="shared" si="14"/>
        <v>9849320165</v>
      </c>
      <c r="AC183" t="str">
        <f t="shared" si="15"/>
        <v>+9779849320165</v>
      </c>
      <c r="AD183" t="str">
        <f t="shared" si="16"/>
        <v>Mobile</v>
      </c>
      <c r="AE183" t="str">
        <f t="shared" si="17"/>
        <v>Valid</v>
      </c>
    </row>
    <row r="184" spans="1:31" x14ac:dyDescent="0.3">
      <c r="A184" s="2" t="s">
        <v>777</v>
      </c>
      <c r="B184" s="2" t="s">
        <v>783</v>
      </c>
      <c r="C184" s="2" t="s">
        <v>779</v>
      </c>
      <c r="D184" s="2" t="s">
        <v>662</v>
      </c>
      <c r="E184" s="2" t="s">
        <v>779</v>
      </c>
      <c r="F184" s="2" t="s">
        <v>779</v>
      </c>
      <c r="G184" s="5" t="str" cm="1">
        <f t="array" ref="G184">IFERROR(INDEX(City_Lookup!$B$2:$B$297,MATCH(TRUE,ISNUMBER(SEARCH(City_Lookup!$A$2:$A$297,$F184&amp;" "&amp;$E184)),0)),"Not Available")</f>
        <v>Bara</v>
      </c>
      <c r="H184" s="5" t="str">
        <f>IFERROR(INDEX(City_Lookup!$E$2:$E$66,MATCH($G184,City_Lookup!$D$2:$D$66,0)),"Not Available")</f>
        <v>Madhesh</v>
      </c>
      <c r="I184" s="2" t="s">
        <v>663</v>
      </c>
      <c r="J184" s="2" t="s">
        <v>29</v>
      </c>
      <c r="K184" s="2" t="s">
        <v>250</v>
      </c>
      <c r="L184" s="2"/>
      <c r="M184" s="2" t="s">
        <v>250</v>
      </c>
      <c r="N184" s="2" t="s">
        <v>664</v>
      </c>
      <c r="O184" s="2">
        <v>2</v>
      </c>
      <c r="P184" s="2" t="s">
        <v>769</v>
      </c>
      <c r="Q184" s="2" t="s">
        <v>782</v>
      </c>
      <c r="R184" s="2" t="s">
        <v>33</v>
      </c>
      <c r="S184" s="2" t="s">
        <v>27</v>
      </c>
      <c r="T184" s="2" t="s">
        <v>34</v>
      </c>
      <c r="U184" s="2" t="s">
        <v>35</v>
      </c>
      <c r="V184" s="2" t="s">
        <v>36</v>
      </c>
      <c r="W184" s="2" t="s">
        <v>37</v>
      </c>
      <c r="X184" s="4" t="s">
        <v>769</v>
      </c>
      <c r="Y184" s="4" t="s">
        <v>2501</v>
      </c>
      <c r="Z184" t="str">
        <f t="shared" si="12"/>
        <v>9779849320165</v>
      </c>
      <c r="AA184" t="str">
        <f t="shared" si="13"/>
        <v>9849320165</v>
      </c>
      <c r="AB184" t="str">
        <f t="shared" si="14"/>
        <v>9849320165</v>
      </c>
      <c r="AC184" t="str">
        <f t="shared" si="15"/>
        <v>+9779849320165</v>
      </c>
      <c r="AD184" t="str">
        <f t="shared" si="16"/>
        <v>Mobile</v>
      </c>
      <c r="AE184" t="str">
        <f t="shared" si="17"/>
        <v>Valid</v>
      </c>
    </row>
    <row r="185" spans="1:31" x14ac:dyDescent="0.3">
      <c r="A185" s="2" t="s">
        <v>784</v>
      </c>
      <c r="B185" s="2" t="s">
        <v>785</v>
      </c>
      <c r="C185" s="2" t="s">
        <v>786</v>
      </c>
      <c r="D185" s="2" t="s">
        <v>662</v>
      </c>
      <c r="E185" s="2" t="s">
        <v>786</v>
      </c>
      <c r="F185" s="2" t="s">
        <v>786</v>
      </c>
      <c r="G185" s="5" t="str" cm="1">
        <f t="array" ref="G185">IFERROR(INDEX(City_Lookup!$B$2:$B$297,MATCH(TRUE,ISNUMBER(SEARCH(City_Lookup!$A$2:$A$297,$F185&amp;" "&amp;$E185)),0)),"Not Available")</f>
        <v>Banke</v>
      </c>
      <c r="H185" s="5" t="str">
        <f>IFERROR(INDEX(City_Lookup!$E$2:$E$66,MATCH($G185,City_Lookup!$D$2:$D$66,0)),"Not Available")</f>
        <v>Lumbini</v>
      </c>
      <c r="I185" s="2" t="s">
        <v>663</v>
      </c>
      <c r="J185" s="2" t="s">
        <v>29</v>
      </c>
      <c r="K185" s="2" t="s">
        <v>250</v>
      </c>
      <c r="L185" s="2"/>
      <c r="M185" s="2" t="s">
        <v>250</v>
      </c>
      <c r="N185" s="2" t="s">
        <v>664</v>
      </c>
      <c r="O185" s="2">
        <v>2</v>
      </c>
      <c r="P185" s="2" t="s">
        <v>787</v>
      </c>
      <c r="Q185" s="2" t="s">
        <v>788</v>
      </c>
      <c r="R185" s="2" t="s">
        <v>33</v>
      </c>
      <c r="S185" s="2" t="s">
        <v>27</v>
      </c>
      <c r="T185" s="2" t="s">
        <v>34</v>
      </c>
      <c r="U185" s="2" t="s">
        <v>35</v>
      </c>
      <c r="V185" s="2" t="s">
        <v>36</v>
      </c>
      <c r="W185" s="2" t="s">
        <v>37</v>
      </c>
      <c r="X185" s="4" t="s">
        <v>787</v>
      </c>
      <c r="Y185" s="4" t="s">
        <v>2501</v>
      </c>
      <c r="Z185" t="str">
        <f t="shared" si="12"/>
        <v>9779866814609</v>
      </c>
      <c r="AA185" t="str">
        <f t="shared" si="13"/>
        <v>9866814609</v>
      </c>
      <c r="AB185" t="str">
        <f t="shared" si="14"/>
        <v>9866814609</v>
      </c>
      <c r="AC185" t="str">
        <f t="shared" si="15"/>
        <v>+9779866814609</v>
      </c>
      <c r="AD185" t="str">
        <f t="shared" si="16"/>
        <v>Mobile</v>
      </c>
      <c r="AE185" t="str">
        <f t="shared" si="17"/>
        <v>Valid</v>
      </c>
    </row>
    <row r="186" spans="1:31" x14ac:dyDescent="0.3">
      <c r="A186" s="2" t="s">
        <v>784</v>
      </c>
      <c r="B186" s="2" t="s">
        <v>789</v>
      </c>
      <c r="C186" s="2" t="s">
        <v>786</v>
      </c>
      <c r="D186" s="2" t="s">
        <v>662</v>
      </c>
      <c r="E186" s="2" t="s">
        <v>786</v>
      </c>
      <c r="F186" s="2" t="s">
        <v>786</v>
      </c>
      <c r="G186" s="5" t="str" cm="1">
        <f t="array" ref="G186">IFERROR(INDEX(City_Lookup!$B$2:$B$297,MATCH(TRUE,ISNUMBER(SEARCH(City_Lookup!$A$2:$A$297,$F186&amp;" "&amp;$E186)),0)),"Not Available")</f>
        <v>Banke</v>
      </c>
      <c r="H186" s="5" t="str">
        <f>IFERROR(INDEX(City_Lookup!$E$2:$E$66,MATCH($G186,City_Lookup!$D$2:$D$66,0)),"Not Available")</f>
        <v>Lumbini</v>
      </c>
      <c r="I186" s="2" t="s">
        <v>28</v>
      </c>
      <c r="J186" s="2" t="s">
        <v>29</v>
      </c>
      <c r="K186" s="2" t="s">
        <v>250</v>
      </c>
      <c r="L186" s="2"/>
      <c r="M186" s="2" t="s">
        <v>250</v>
      </c>
      <c r="N186" s="2" t="s">
        <v>681</v>
      </c>
      <c r="O186" s="2">
        <v>2</v>
      </c>
      <c r="P186" s="2" t="s">
        <v>787</v>
      </c>
      <c r="Q186" s="2" t="s">
        <v>788</v>
      </c>
      <c r="R186" s="2" t="s">
        <v>33</v>
      </c>
      <c r="S186" s="2" t="s">
        <v>27</v>
      </c>
      <c r="T186" s="2" t="s">
        <v>34</v>
      </c>
      <c r="U186" s="2" t="s">
        <v>35</v>
      </c>
      <c r="V186" s="2" t="s">
        <v>36</v>
      </c>
      <c r="W186" s="2" t="s">
        <v>37</v>
      </c>
      <c r="X186" s="4" t="s">
        <v>787</v>
      </c>
      <c r="Y186" s="4" t="s">
        <v>2501</v>
      </c>
      <c r="Z186" t="str">
        <f t="shared" si="12"/>
        <v>9779866814609</v>
      </c>
      <c r="AA186" t="str">
        <f t="shared" si="13"/>
        <v>9866814609</v>
      </c>
      <c r="AB186" t="str">
        <f t="shared" si="14"/>
        <v>9866814609</v>
      </c>
      <c r="AC186" t="str">
        <f t="shared" si="15"/>
        <v>+9779866814609</v>
      </c>
      <c r="AD186" t="str">
        <f t="shared" si="16"/>
        <v>Mobile</v>
      </c>
      <c r="AE186" t="str">
        <f t="shared" si="17"/>
        <v>Valid</v>
      </c>
    </row>
    <row r="187" spans="1:31" x14ac:dyDescent="0.3">
      <c r="A187" s="2" t="s">
        <v>790</v>
      </c>
      <c r="B187" s="2" t="s">
        <v>791</v>
      </c>
      <c r="C187" s="2" t="s">
        <v>792</v>
      </c>
      <c r="D187" s="2" t="s">
        <v>662</v>
      </c>
      <c r="E187" s="2" t="s">
        <v>792</v>
      </c>
      <c r="F187" s="2" t="s">
        <v>792</v>
      </c>
      <c r="G187" s="5" t="str" cm="1">
        <f t="array" ref="G187">IFERROR(INDEX(City_Lookup!$B$2:$B$297,MATCH(TRUE,ISNUMBER(SEARCH(City_Lookup!$A$2:$A$297,$F187&amp;" "&amp;$E187)),0)),"Not Available")</f>
        <v>Surkhet</v>
      </c>
      <c r="H187" s="5" t="str">
        <f>IFERROR(INDEX(City_Lookup!$E$2:$E$66,MATCH($G187,City_Lookup!$D$2:$D$66,0)),"Not Available")</f>
        <v>Karnali</v>
      </c>
      <c r="I187" s="2" t="s">
        <v>663</v>
      </c>
      <c r="J187" s="2" t="s">
        <v>29</v>
      </c>
      <c r="K187" s="2" t="s">
        <v>250</v>
      </c>
      <c r="L187" s="2"/>
      <c r="M187" s="2" t="s">
        <v>250</v>
      </c>
      <c r="N187" s="2" t="s">
        <v>664</v>
      </c>
      <c r="O187" s="2">
        <v>1</v>
      </c>
      <c r="P187" s="2" t="s">
        <v>793</v>
      </c>
      <c r="Q187" s="2" t="s">
        <v>794</v>
      </c>
      <c r="R187" s="2" t="s">
        <v>33</v>
      </c>
      <c r="S187" s="2" t="s">
        <v>27</v>
      </c>
      <c r="T187" s="2" t="s">
        <v>34</v>
      </c>
      <c r="U187" s="2" t="s">
        <v>35</v>
      </c>
      <c r="V187" s="2" t="s">
        <v>36</v>
      </c>
      <c r="W187" s="2" t="s">
        <v>37</v>
      </c>
      <c r="X187" s="4" t="s">
        <v>793</v>
      </c>
      <c r="Y187" s="4" t="s">
        <v>2501</v>
      </c>
      <c r="Z187" t="str">
        <f t="shared" si="12"/>
        <v>9779869703075</v>
      </c>
      <c r="AA187" t="str">
        <f t="shared" si="13"/>
        <v>9869703075</v>
      </c>
      <c r="AB187" t="str">
        <f t="shared" si="14"/>
        <v>9869703075</v>
      </c>
      <c r="AC187" t="str">
        <f t="shared" si="15"/>
        <v>+9779869703075</v>
      </c>
      <c r="AD187" t="str">
        <f t="shared" si="16"/>
        <v>Mobile</v>
      </c>
      <c r="AE187" t="str">
        <f t="shared" si="17"/>
        <v>Valid</v>
      </c>
    </row>
    <row r="188" spans="1:31" x14ac:dyDescent="0.3">
      <c r="A188" s="2" t="s">
        <v>795</v>
      </c>
      <c r="B188" s="2" t="s">
        <v>796</v>
      </c>
      <c r="C188" s="2" t="s">
        <v>797</v>
      </c>
      <c r="D188" s="2" t="s">
        <v>662</v>
      </c>
      <c r="E188" s="2" t="s">
        <v>797</v>
      </c>
      <c r="F188" s="2" t="s">
        <v>797</v>
      </c>
      <c r="G188" s="5" t="str" cm="1">
        <f t="array" ref="G188">IFERROR(INDEX(City_Lookup!$B$2:$B$297,MATCH(TRUE,ISNUMBER(SEARCH(City_Lookup!$A$2:$A$297,$F188&amp;" "&amp;$E188)),0)),"Not Available")</f>
        <v>Kanchanpur</v>
      </c>
      <c r="H188" s="5" t="str">
        <f>IFERROR(INDEX(City_Lookup!$E$2:$E$66,MATCH($G188,City_Lookup!$D$2:$D$66,0)),"Not Available")</f>
        <v>Sudurpashchim</v>
      </c>
      <c r="I188" s="2" t="s">
        <v>663</v>
      </c>
      <c r="J188" s="2" t="s">
        <v>29</v>
      </c>
      <c r="K188" s="2" t="s">
        <v>250</v>
      </c>
      <c r="L188" s="2"/>
      <c r="M188" s="2" t="s">
        <v>250</v>
      </c>
      <c r="N188" s="2" t="s">
        <v>664</v>
      </c>
      <c r="O188" s="2">
        <v>1</v>
      </c>
      <c r="P188" s="2" t="s">
        <v>800</v>
      </c>
      <c r="Q188" s="2" t="s">
        <v>801</v>
      </c>
      <c r="R188" s="2" t="s">
        <v>33</v>
      </c>
      <c r="S188" s="2" t="s">
        <v>27</v>
      </c>
      <c r="T188" s="2" t="s">
        <v>34</v>
      </c>
      <c r="U188" s="2" t="s">
        <v>35</v>
      </c>
      <c r="V188" s="2" t="s">
        <v>36</v>
      </c>
      <c r="W188" s="2" t="s">
        <v>37</v>
      </c>
      <c r="X188" s="4" t="s">
        <v>800</v>
      </c>
      <c r="Y188" s="4" t="s">
        <v>2501</v>
      </c>
      <c r="Z188" t="str">
        <f t="shared" si="12"/>
        <v>9779848750158</v>
      </c>
      <c r="AA188" t="str">
        <f t="shared" si="13"/>
        <v>9848750158</v>
      </c>
      <c r="AB188" t="str">
        <f t="shared" si="14"/>
        <v>9848750158</v>
      </c>
      <c r="AC188" t="str">
        <f t="shared" si="15"/>
        <v>+9779848750158</v>
      </c>
      <c r="AD188" t="str">
        <f t="shared" si="16"/>
        <v>Mobile</v>
      </c>
      <c r="AE188" t="str">
        <f t="shared" si="17"/>
        <v>Valid</v>
      </c>
    </row>
    <row r="189" spans="1:31" x14ac:dyDescent="0.3">
      <c r="A189" s="2" t="s">
        <v>802</v>
      </c>
      <c r="B189" s="2" t="s">
        <v>803</v>
      </c>
      <c r="C189" s="2" t="s">
        <v>804</v>
      </c>
      <c r="D189" s="2" t="s">
        <v>662</v>
      </c>
      <c r="E189" s="2" t="s">
        <v>804</v>
      </c>
      <c r="F189" s="2" t="s">
        <v>804</v>
      </c>
      <c r="G189" s="5" t="str" cm="1">
        <f t="array" ref="G189">IFERROR(INDEX(City_Lookup!$B$2:$B$297,MATCH(TRUE,ISNUMBER(SEARCH(City_Lookup!$A$2:$A$297,$F189&amp;" "&amp;$E189)),0)),"Not Available")</f>
        <v>Dadeldhura</v>
      </c>
      <c r="H189" s="5" t="str">
        <f>IFERROR(INDEX(City_Lookup!$E$2:$E$66,MATCH($G189,City_Lookup!$D$2:$D$66,0)),"Not Available")</f>
        <v>Sudurpashchim</v>
      </c>
      <c r="I189" s="2" t="s">
        <v>663</v>
      </c>
      <c r="J189" s="2" t="s">
        <v>29</v>
      </c>
      <c r="K189" s="2" t="s">
        <v>250</v>
      </c>
      <c r="L189" s="2"/>
      <c r="M189" s="2" t="s">
        <v>250</v>
      </c>
      <c r="N189" s="2" t="s">
        <v>664</v>
      </c>
      <c r="O189" s="2">
        <v>1</v>
      </c>
      <c r="P189" s="2" t="s">
        <v>800</v>
      </c>
      <c r="Q189" s="2" t="s">
        <v>807</v>
      </c>
      <c r="R189" s="2" t="s">
        <v>33</v>
      </c>
      <c r="S189" s="2" t="s">
        <v>27</v>
      </c>
      <c r="T189" s="2" t="s">
        <v>34</v>
      </c>
      <c r="U189" s="2" t="s">
        <v>35</v>
      </c>
      <c r="V189" s="2" t="s">
        <v>36</v>
      </c>
      <c r="W189" s="2" t="s">
        <v>37</v>
      </c>
      <c r="X189" s="4" t="s">
        <v>800</v>
      </c>
      <c r="Y189" s="4" t="s">
        <v>2501</v>
      </c>
      <c r="Z189" t="str">
        <f t="shared" si="12"/>
        <v>9779848750158</v>
      </c>
      <c r="AA189" t="str">
        <f t="shared" si="13"/>
        <v>9848750158</v>
      </c>
      <c r="AB189" t="str">
        <f t="shared" si="14"/>
        <v>9848750158</v>
      </c>
      <c r="AC189" t="str">
        <f t="shared" si="15"/>
        <v>+9779848750158</v>
      </c>
      <c r="AD189" t="str">
        <f t="shared" si="16"/>
        <v>Mobile</v>
      </c>
      <c r="AE189" t="str">
        <f t="shared" si="17"/>
        <v>Valid</v>
      </c>
    </row>
    <row r="190" spans="1:31" x14ac:dyDescent="0.3">
      <c r="A190" s="2" t="s">
        <v>808</v>
      </c>
      <c r="B190" s="2" t="s">
        <v>809</v>
      </c>
      <c r="C190" s="2" t="s">
        <v>810</v>
      </c>
      <c r="D190" s="2" t="s">
        <v>662</v>
      </c>
      <c r="E190" s="2" t="s">
        <v>810</v>
      </c>
      <c r="F190" s="2" t="s">
        <v>810</v>
      </c>
      <c r="G190" s="5" t="str" cm="1">
        <f t="array" ref="G190">IFERROR(INDEX(City_Lookup!$B$2:$B$297,MATCH(TRUE,ISNUMBER(SEARCH(City_Lookup!$A$2:$A$297,$F190&amp;" "&amp;$E190)),0)),"Not Available")</f>
        <v>Kailali</v>
      </c>
      <c r="H190" s="5" t="str">
        <f>IFERROR(INDEX(City_Lookup!$E$2:$E$66,MATCH($G190,City_Lookup!$D$2:$D$66,0)),"Not Available")</f>
        <v>Sudurpashchim</v>
      </c>
      <c r="I190" s="2" t="s">
        <v>663</v>
      </c>
      <c r="J190" s="2" t="s">
        <v>29</v>
      </c>
      <c r="K190" s="2" t="s">
        <v>250</v>
      </c>
      <c r="L190" s="2"/>
      <c r="M190" s="2" t="s">
        <v>250</v>
      </c>
      <c r="N190" s="2" t="s">
        <v>664</v>
      </c>
      <c r="O190" s="2">
        <v>1</v>
      </c>
      <c r="P190" s="2" t="s">
        <v>800</v>
      </c>
      <c r="Q190" s="2" t="s">
        <v>811</v>
      </c>
      <c r="R190" s="2" t="s">
        <v>33</v>
      </c>
      <c r="S190" s="2" t="s">
        <v>27</v>
      </c>
      <c r="T190" s="2" t="s">
        <v>34</v>
      </c>
      <c r="U190" s="2" t="s">
        <v>35</v>
      </c>
      <c r="V190" s="2" t="s">
        <v>36</v>
      </c>
      <c r="W190" s="2" t="s">
        <v>37</v>
      </c>
      <c r="X190" s="4" t="s">
        <v>800</v>
      </c>
      <c r="Y190" s="4" t="s">
        <v>2501</v>
      </c>
      <c r="Z190" t="str">
        <f t="shared" si="12"/>
        <v>9779848750158</v>
      </c>
      <c r="AA190" t="str">
        <f t="shared" si="13"/>
        <v>9848750158</v>
      </c>
      <c r="AB190" t="str">
        <f t="shared" si="14"/>
        <v>9848750158</v>
      </c>
      <c r="AC190" t="str">
        <f t="shared" si="15"/>
        <v>+9779848750158</v>
      </c>
      <c r="AD190" t="str">
        <f t="shared" si="16"/>
        <v>Mobile</v>
      </c>
      <c r="AE190" t="str">
        <f t="shared" si="17"/>
        <v>Valid</v>
      </c>
    </row>
    <row r="191" spans="1:31" x14ac:dyDescent="0.3">
      <c r="A191" s="2" t="s">
        <v>812</v>
      </c>
      <c r="B191" s="2" t="s">
        <v>813</v>
      </c>
      <c r="C191" s="2" t="s">
        <v>814</v>
      </c>
      <c r="D191" s="2" t="s">
        <v>662</v>
      </c>
      <c r="E191" s="2" t="s">
        <v>814</v>
      </c>
      <c r="F191" s="2" t="s">
        <v>814</v>
      </c>
      <c r="G191" s="5" t="str" cm="1">
        <f t="array" ref="G191">IFERROR(INDEX(City_Lookup!$B$2:$B$297,MATCH(TRUE,ISNUMBER(SEARCH(City_Lookup!$A$2:$A$297,$F191&amp;" "&amp;$E191)),0)),"Not Available")</f>
        <v>Kailali</v>
      </c>
      <c r="H191" s="5" t="str">
        <f>IFERROR(INDEX(City_Lookup!$E$2:$E$66,MATCH($G191,City_Lookup!$D$2:$D$66,0)),"Not Available")</f>
        <v>Sudurpashchim</v>
      </c>
      <c r="I191" s="2" t="s">
        <v>663</v>
      </c>
      <c r="J191" s="2" t="s">
        <v>29</v>
      </c>
      <c r="K191" s="2" t="s">
        <v>250</v>
      </c>
      <c r="L191" s="2"/>
      <c r="M191" s="2" t="s">
        <v>250</v>
      </c>
      <c r="N191" s="2" t="s">
        <v>664</v>
      </c>
      <c r="O191" s="2">
        <v>2</v>
      </c>
      <c r="P191" s="2" t="s">
        <v>816</v>
      </c>
      <c r="Q191" s="2" t="s">
        <v>817</v>
      </c>
      <c r="R191" s="2" t="s">
        <v>33</v>
      </c>
      <c r="S191" s="2" t="s">
        <v>27</v>
      </c>
      <c r="T191" s="2" t="s">
        <v>34</v>
      </c>
      <c r="U191" s="2" t="s">
        <v>35</v>
      </c>
      <c r="V191" s="2" t="s">
        <v>36</v>
      </c>
      <c r="W191" s="2" t="s">
        <v>37</v>
      </c>
      <c r="X191" s="4" t="s">
        <v>816</v>
      </c>
      <c r="Y191" s="4" t="s">
        <v>2501</v>
      </c>
      <c r="Z191" t="str">
        <f t="shared" si="12"/>
        <v>9779858485784</v>
      </c>
      <c r="AA191" t="str">
        <f t="shared" si="13"/>
        <v>9858485784</v>
      </c>
      <c r="AB191" t="str">
        <f t="shared" si="14"/>
        <v>9858485784</v>
      </c>
      <c r="AC191" t="str">
        <f t="shared" si="15"/>
        <v>+9779858485784</v>
      </c>
      <c r="AD191" t="str">
        <f t="shared" si="16"/>
        <v>Mobile</v>
      </c>
      <c r="AE191" t="str">
        <f t="shared" si="17"/>
        <v>Valid</v>
      </c>
    </row>
    <row r="192" spans="1:31" x14ac:dyDescent="0.3">
      <c r="A192" s="2" t="s">
        <v>812</v>
      </c>
      <c r="B192" s="2" t="s">
        <v>818</v>
      </c>
      <c r="C192" s="2" t="s">
        <v>814</v>
      </c>
      <c r="D192" s="2" t="s">
        <v>662</v>
      </c>
      <c r="E192" s="2" t="s">
        <v>814</v>
      </c>
      <c r="F192" s="2" t="s">
        <v>814</v>
      </c>
      <c r="G192" s="5" t="str" cm="1">
        <f t="array" ref="G192">IFERROR(INDEX(City_Lookup!$B$2:$B$297,MATCH(TRUE,ISNUMBER(SEARCH(City_Lookup!$A$2:$A$297,$F192&amp;" "&amp;$E192)),0)),"Not Available")</f>
        <v>Kailali</v>
      </c>
      <c r="H192" s="5" t="str">
        <f>IFERROR(INDEX(City_Lookup!$E$2:$E$66,MATCH($G192,City_Lookup!$D$2:$D$66,0)),"Not Available")</f>
        <v>Sudurpashchim</v>
      </c>
      <c r="I192" s="2" t="s">
        <v>28</v>
      </c>
      <c r="J192" s="2" t="s">
        <v>29</v>
      </c>
      <c r="K192" s="2" t="s">
        <v>250</v>
      </c>
      <c r="L192" s="2"/>
      <c r="M192" s="2" t="s">
        <v>250</v>
      </c>
      <c r="N192" s="2" t="s">
        <v>681</v>
      </c>
      <c r="O192" s="2">
        <v>2</v>
      </c>
      <c r="P192" s="2" t="s">
        <v>816</v>
      </c>
      <c r="Q192" s="2" t="s">
        <v>817</v>
      </c>
      <c r="R192" s="2" t="s">
        <v>33</v>
      </c>
      <c r="S192" s="2" t="s">
        <v>27</v>
      </c>
      <c r="T192" s="2" t="s">
        <v>34</v>
      </c>
      <c r="U192" s="2" t="s">
        <v>35</v>
      </c>
      <c r="V192" s="2" t="s">
        <v>36</v>
      </c>
      <c r="W192" s="2" t="s">
        <v>37</v>
      </c>
      <c r="X192" s="4" t="s">
        <v>816</v>
      </c>
      <c r="Y192" s="4" t="s">
        <v>2501</v>
      </c>
      <c r="Z192" t="str">
        <f t="shared" si="12"/>
        <v>9779858485784</v>
      </c>
      <c r="AA192" t="str">
        <f t="shared" si="13"/>
        <v>9858485784</v>
      </c>
      <c r="AB192" t="str">
        <f t="shared" si="14"/>
        <v>9858485784</v>
      </c>
      <c r="AC192" t="str">
        <f t="shared" si="15"/>
        <v>+9779858485784</v>
      </c>
      <c r="AD192" t="str">
        <f t="shared" si="16"/>
        <v>Mobile</v>
      </c>
      <c r="AE192" t="str">
        <f t="shared" si="17"/>
        <v>Valid</v>
      </c>
    </row>
    <row r="193" spans="1:31" x14ac:dyDescent="0.3">
      <c r="A193" s="2" t="s">
        <v>819</v>
      </c>
      <c r="B193" s="2" t="s">
        <v>820</v>
      </c>
      <c r="C193" s="2" t="s">
        <v>821</v>
      </c>
      <c r="D193" s="2" t="s">
        <v>662</v>
      </c>
      <c r="E193" s="2" t="s">
        <v>821</v>
      </c>
      <c r="F193" s="2" t="s">
        <v>821</v>
      </c>
      <c r="G193" s="5" t="str" cm="1">
        <f t="array" ref="G193">IFERROR(INDEX(City_Lookup!$B$2:$B$297,MATCH(TRUE,ISNUMBER(SEARCH(City_Lookup!$A$2:$A$297,$F193&amp;" "&amp;$E193)),0)),"Not Available")</f>
        <v>Okhaldhunga</v>
      </c>
      <c r="H193" s="5" t="str">
        <f>IFERROR(INDEX(City_Lookup!$E$2:$E$66,MATCH($G193,City_Lookup!$D$2:$D$66,0)),"Not Available")</f>
        <v>Koshi</v>
      </c>
      <c r="I193" s="2" t="s">
        <v>663</v>
      </c>
      <c r="J193" s="2" t="s">
        <v>29</v>
      </c>
      <c r="K193" s="2" t="s">
        <v>250</v>
      </c>
      <c r="L193" s="2"/>
      <c r="M193" s="2" t="s">
        <v>250</v>
      </c>
      <c r="N193" s="2" t="s">
        <v>664</v>
      </c>
      <c r="O193" s="2">
        <v>1</v>
      </c>
      <c r="P193" s="2" t="s">
        <v>824</v>
      </c>
      <c r="Q193" s="2" t="s">
        <v>825</v>
      </c>
      <c r="R193" s="2" t="s">
        <v>33</v>
      </c>
      <c r="S193" s="2" t="s">
        <v>27</v>
      </c>
      <c r="T193" s="2" t="s">
        <v>34</v>
      </c>
      <c r="U193" s="2" t="s">
        <v>35</v>
      </c>
      <c r="V193" s="2" t="s">
        <v>36</v>
      </c>
      <c r="W193" s="2" t="s">
        <v>37</v>
      </c>
      <c r="X193" s="4" t="s">
        <v>824</v>
      </c>
      <c r="Y193" s="4" t="s">
        <v>2501</v>
      </c>
      <c r="Z193" t="str">
        <f t="shared" si="12"/>
        <v>9779811724858</v>
      </c>
      <c r="AA193" t="str">
        <f t="shared" si="13"/>
        <v>9811724858</v>
      </c>
      <c r="AB193" t="str">
        <f t="shared" si="14"/>
        <v>9811724858</v>
      </c>
      <c r="AC193" t="str">
        <f t="shared" si="15"/>
        <v>+9779811724858</v>
      </c>
      <c r="AD193" t="str">
        <f t="shared" si="16"/>
        <v>Mobile</v>
      </c>
      <c r="AE193" t="str">
        <f t="shared" si="17"/>
        <v>Valid</v>
      </c>
    </row>
    <row r="194" spans="1:31" x14ac:dyDescent="0.3">
      <c r="A194" s="2" t="s">
        <v>826</v>
      </c>
      <c r="B194" s="2" t="s">
        <v>827</v>
      </c>
      <c r="C194" s="2" t="s">
        <v>828</v>
      </c>
      <c r="D194" s="2" t="s">
        <v>662</v>
      </c>
      <c r="E194" s="2" t="s">
        <v>828</v>
      </c>
      <c r="F194" s="2" t="s">
        <v>828</v>
      </c>
      <c r="G194" s="5" t="str" cm="1">
        <f t="array" ref="G194">IFERROR(INDEX(City_Lookup!$B$2:$B$297,MATCH(TRUE,ISNUMBER(SEARCH(City_Lookup!$A$2:$A$297,$F194&amp;" "&amp;$E194)),0)),"Not Available")</f>
        <v>Sindhuli</v>
      </c>
      <c r="H194" s="5" t="str">
        <f>IFERROR(INDEX(City_Lookup!$E$2:$E$66,MATCH($G194,City_Lookup!$D$2:$D$66,0)),"Not Available")</f>
        <v>Bagmati</v>
      </c>
      <c r="I194" s="2" t="s">
        <v>663</v>
      </c>
      <c r="J194" s="2" t="s">
        <v>29</v>
      </c>
      <c r="K194" s="2" t="s">
        <v>250</v>
      </c>
      <c r="L194" s="2"/>
      <c r="M194" s="2" t="s">
        <v>250</v>
      </c>
      <c r="N194" s="2" t="s">
        <v>664</v>
      </c>
      <c r="O194" s="2">
        <v>1</v>
      </c>
      <c r="P194" s="2" t="s">
        <v>824</v>
      </c>
      <c r="Q194" s="2" t="s">
        <v>830</v>
      </c>
      <c r="R194" s="2" t="s">
        <v>33</v>
      </c>
      <c r="S194" s="2" t="s">
        <v>27</v>
      </c>
      <c r="T194" s="2" t="s">
        <v>34</v>
      </c>
      <c r="U194" s="2" t="s">
        <v>35</v>
      </c>
      <c r="V194" s="2" t="s">
        <v>36</v>
      </c>
      <c r="W194" s="2" t="s">
        <v>37</v>
      </c>
      <c r="X194" s="4" t="s">
        <v>824</v>
      </c>
      <c r="Y194" s="4" t="s">
        <v>2501</v>
      </c>
      <c r="Z194" t="str">
        <f t="shared" si="12"/>
        <v>9779811724858</v>
      </c>
      <c r="AA194" t="str">
        <f t="shared" si="13"/>
        <v>9811724858</v>
      </c>
      <c r="AB194" t="str">
        <f t="shared" si="14"/>
        <v>9811724858</v>
      </c>
      <c r="AC194" t="str">
        <f t="shared" si="15"/>
        <v>+9779811724858</v>
      </c>
      <c r="AD194" t="str">
        <f t="shared" si="16"/>
        <v>Mobile</v>
      </c>
      <c r="AE194" t="str">
        <f t="shared" si="17"/>
        <v>Valid</v>
      </c>
    </row>
    <row r="195" spans="1:31" x14ac:dyDescent="0.3">
      <c r="A195" s="2" t="s">
        <v>831</v>
      </c>
      <c r="B195" s="2" t="s">
        <v>832</v>
      </c>
      <c r="C195" s="2" t="s">
        <v>833</v>
      </c>
      <c r="D195" s="2" t="s">
        <v>662</v>
      </c>
      <c r="E195" s="2" t="s">
        <v>833</v>
      </c>
      <c r="F195" s="2" t="s">
        <v>833</v>
      </c>
      <c r="G195" s="5" t="str" cm="1">
        <f t="array" ref="G195">IFERROR(INDEX(City_Lookup!$B$2:$B$297,MATCH(TRUE,ISNUMBER(SEARCH(City_Lookup!$A$2:$A$297,$F195&amp;" "&amp;$E195)),0)),"Not Available")</f>
        <v>Kaski</v>
      </c>
      <c r="H195" s="5" t="str">
        <f>IFERROR(INDEX(City_Lookup!$E$2:$E$66,MATCH($G195,City_Lookup!$D$2:$D$66,0)),"Not Available")</f>
        <v>Gandaki</v>
      </c>
      <c r="I195" s="2" t="s">
        <v>663</v>
      </c>
      <c r="J195" s="2" t="s">
        <v>29</v>
      </c>
      <c r="K195" s="2" t="s">
        <v>250</v>
      </c>
      <c r="L195" s="2"/>
      <c r="M195" s="2" t="s">
        <v>250</v>
      </c>
      <c r="N195" s="2" t="s">
        <v>664</v>
      </c>
      <c r="O195" s="2">
        <v>2</v>
      </c>
      <c r="P195" s="2" t="s">
        <v>835</v>
      </c>
      <c r="Q195" s="2" t="s">
        <v>836</v>
      </c>
      <c r="R195" s="2" t="s">
        <v>33</v>
      </c>
      <c r="S195" s="2" t="s">
        <v>27</v>
      </c>
      <c r="T195" s="2" t="s">
        <v>34</v>
      </c>
      <c r="U195" s="2" t="s">
        <v>35</v>
      </c>
      <c r="V195" s="2" t="s">
        <v>36</v>
      </c>
      <c r="W195" s="2" t="s">
        <v>37</v>
      </c>
      <c r="X195" s="4" t="s">
        <v>835</v>
      </c>
      <c r="Y195" s="4" t="s">
        <v>2501</v>
      </c>
      <c r="Z195" t="str">
        <f t="shared" ref="Z195:Z258" si="18">IF($X195="Not Available","",TRIM(LEFT(SUBSTITUTE(SUBSTITUTE(SUBSTITUTE(SUBSTITUTE(SUBSTITUTE(SUBSTITUTE(SUBSTITUTE($X195," ",""),"-",""),"(",""),")",""),".",""),"+","")&amp;"/","/",REPT(" ",60)),60)))</f>
        <v>9779856018789</v>
      </c>
      <c r="AA195" t="str">
        <f t="shared" ref="AA195:AA258" si="19">IF($Z195="","",IF(ISNUMBER(-$Z195),IF(LEFT($Z195,3)="977",MID($Z195,4,20),$Z195),IF(ISNUMBER(SEARCH("977",$Z195)),MID($Z195,SEARCH("977",$Z195)+3,20),$Z195)))</f>
        <v>9856018789</v>
      </c>
      <c r="AB195" t="str">
        <f t="shared" ref="AB195:AB258" si="20">IF($AA195="","",IF(LEFT($AA195,1)="0",MID($AA195,2,20),$AA195))</f>
        <v>9856018789</v>
      </c>
      <c r="AC195" t="str">
        <f t="shared" ref="AC195:AC258" si="21">IF($AB195="","Not Available","+977"&amp;$AB195)</f>
        <v>+9779856018789</v>
      </c>
      <c r="AD195" t="str">
        <f t="shared" ref="AD195:AD258" si="22">IF($AB195="","Not Available",IF(AND(LEN($AB195)=10,LEFT($AB195,1)="9"),"Mobile",IF(AND(LEN($AB195)&gt;=8,LEN($AB195)&lt;=9),IF(ISNUMBER(SEARCH("/",$X195)),"Landline (multiple lines)","Landline"),"Unrecognised")))</f>
        <v>Mobile</v>
      </c>
      <c r="AE195" t="str">
        <f t="shared" ref="AE195:AE258" si="23">IF($AB195="","Not Available",IF(AND(ISNUMBER(-$AB195),$AD195&lt;&gt;"Unrecognised"),"Valid","Check format"))</f>
        <v>Valid</v>
      </c>
    </row>
    <row r="196" spans="1:31" x14ac:dyDescent="0.3">
      <c r="A196" s="2" t="s">
        <v>831</v>
      </c>
      <c r="B196" s="2" t="s">
        <v>837</v>
      </c>
      <c r="C196" s="2" t="s">
        <v>833</v>
      </c>
      <c r="D196" s="2" t="s">
        <v>662</v>
      </c>
      <c r="E196" s="2" t="s">
        <v>833</v>
      </c>
      <c r="F196" s="2" t="s">
        <v>833</v>
      </c>
      <c r="G196" s="5" t="str" cm="1">
        <f t="array" ref="G196">IFERROR(INDEX(City_Lookup!$B$2:$B$297,MATCH(TRUE,ISNUMBER(SEARCH(City_Lookup!$A$2:$A$297,$F196&amp;" "&amp;$E196)),0)),"Not Available")</f>
        <v>Kaski</v>
      </c>
      <c r="H196" s="5" t="str">
        <f>IFERROR(INDEX(City_Lookup!$E$2:$E$66,MATCH($G196,City_Lookup!$D$2:$D$66,0)),"Not Available")</f>
        <v>Gandaki</v>
      </c>
      <c r="I196" s="2" t="s">
        <v>28</v>
      </c>
      <c r="J196" s="2" t="s">
        <v>29</v>
      </c>
      <c r="K196" s="2" t="s">
        <v>250</v>
      </c>
      <c r="L196" s="2"/>
      <c r="M196" s="2" t="s">
        <v>250</v>
      </c>
      <c r="N196" s="2" t="s">
        <v>681</v>
      </c>
      <c r="O196" s="2">
        <v>2</v>
      </c>
      <c r="P196" s="2" t="s">
        <v>835</v>
      </c>
      <c r="Q196" s="2" t="s">
        <v>836</v>
      </c>
      <c r="R196" s="2" t="s">
        <v>33</v>
      </c>
      <c r="S196" s="2" t="s">
        <v>27</v>
      </c>
      <c r="T196" s="2" t="s">
        <v>34</v>
      </c>
      <c r="U196" s="2" t="s">
        <v>35</v>
      </c>
      <c r="V196" s="2" t="s">
        <v>36</v>
      </c>
      <c r="W196" s="2" t="s">
        <v>37</v>
      </c>
      <c r="X196" s="4" t="s">
        <v>835</v>
      </c>
      <c r="Y196" s="4" t="s">
        <v>2501</v>
      </c>
      <c r="Z196" t="str">
        <f t="shared" si="18"/>
        <v>9779856018789</v>
      </c>
      <c r="AA196" t="str">
        <f t="shared" si="19"/>
        <v>9856018789</v>
      </c>
      <c r="AB196" t="str">
        <f t="shared" si="20"/>
        <v>9856018789</v>
      </c>
      <c r="AC196" t="str">
        <f t="shared" si="21"/>
        <v>+9779856018789</v>
      </c>
      <c r="AD196" t="str">
        <f t="shared" si="22"/>
        <v>Mobile</v>
      </c>
      <c r="AE196" t="str">
        <f t="shared" si="23"/>
        <v>Valid</v>
      </c>
    </row>
    <row r="197" spans="1:31" x14ac:dyDescent="0.3">
      <c r="A197" s="2" t="s">
        <v>838</v>
      </c>
      <c r="B197" s="2" t="s">
        <v>839</v>
      </c>
      <c r="C197" s="2" t="s">
        <v>840</v>
      </c>
      <c r="D197" s="2" t="s">
        <v>662</v>
      </c>
      <c r="E197" s="2" t="s">
        <v>840</v>
      </c>
      <c r="F197" s="2" t="s">
        <v>840</v>
      </c>
      <c r="G197" s="5" t="str" cm="1">
        <f t="array" ref="G197">IFERROR(INDEX(City_Lookup!$B$2:$B$297,MATCH(TRUE,ISNUMBER(SEARCH(City_Lookup!$A$2:$A$297,$F197&amp;" "&amp;$E197)),0)),"Not Available")</f>
        <v>Dang</v>
      </c>
      <c r="H197" s="5" t="str">
        <f>IFERROR(INDEX(City_Lookup!$E$2:$E$66,MATCH($G197,City_Lookup!$D$2:$D$66,0)),"Not Available")</f>
        <v>Lumbini</v>
      </c>
      <c r="I197" s="2" t="s">
        <v>663</v>
      </c>
      <c r="J197" s="2" t="s">
        <v>29</v>
      </c>
      <c r="K197" s="2" t="s">
        <v>250</v>
      </c>
      <c r="L197" s="2"/>
      <c r="M197" s="2" t="s">
        <v>250</v>
      </c>
      <c r="N197" s="2" t="s">
        <v>664</v>
      </c>
      <c r="O197" s="2">
        <v>2</v>
      </c>
      <c r="P197" s="2" t="s">
        <v>841</v>
      </c>
      <c r="Q197" s="2" t="s">
        <v>842</v>
      </c>
      <c r="R197" s="2" t="s">
        <v>33</v>
      </c>
      <c r="S197" s="2" t="s">
        <v>27</v>
      </c>
      <c r="T197" s="2" t="s">
        <v>34</v>
      </c>
      <c r="U197" s="2" t="s">
        <v>35</v>
      </c>
      <c r="V197" s="2" t="s">
        <v>36</v>
      </c>
      <c r="W197" s="2" t="s">
        <v>37</v>
      </c>
      <c r="X197" s="4" t="s">
        <v>841</v>
      </c>
      <c r="Y197" s="4" t="s">
        <v>2501</v>
      </c>
      <c r="Z197" t="str">
        <f t="shared" si="18"/>
        <v>9779857821410</v>
      </c>
      <c r="AA197" t="str">
        <f t="shared" si="19"/>
        <v>9857821410</v>
      </c>
      <c r="AB197" t="str">
        <f t="shared" si="20"/>
        <v>9857821410</v>
      </c>
      <c r="AC197" t="str">
        <f t="shared" si="21"/>
        <v>+9779857821410</v>
      </c>
      <c r="AD197" t="str">
        <f t="shared" si="22"/>
        <v>Mobile</v>
      </c>
      <c r="AE197" t="str">
        <f t="shared" si="23"/>
        <v>Valid</v>
      </c>
    </row>
    <row r="198" spans="1:31" x14ac:dyDescent="0.3">
      <c r="A198" s="2" t="s">
        <v>838</v>
      </c>
      <c r="B198" s="2" t="s">
        <v>843</v>
      </c>
      <c r="C198" s="2" t="s">
        <v>840</v>
      </c>
      <c r="D198" s="2" t="s">
        <v>662</v>
      </c>
      <c r="E198" s="2" t="s">
        <v>840</v>
      </c>
      <c r="F198" s="2" t="s">
        <v>840</v>
      </c>
      <c r="G198" s="5" t="str" cm="1">
        <f t="array" ref="G198">IFERROR(INDEX(City_Lookup!$B$2:$B$297,MATCH(TRUE,ISNUMBER(SEARCH(City_Lookup!$A$2:$A$297,$F198&amp;" "&amp;$E198)),0)),"Not Available")</f>
        <v>Dang</v>
      </c>
      <c r="H198" s="5" t="str">
        <f>IFERROR(INDEX(City_Lookup!$E$2:$E$66,MATCH($G198,City_Lookup!$D$2:$D$66,0)),"Not Available")</f>
        <v>Lumbini</v>
      </c>
      <c r="I198" s="2" t="s">
        <v>28</v>
      </c>
      <c r="J198" s="2" t="s">
        <v>29</v>
      </c>
      <c r="K198" s="2" t="s">
        <v>250</v>
      </c>
      <c r="L198" s="2"/>
      <c r="M198" s="2" t="s">
        <v>250</v>
      </c>
      <c r="N198" s="2" t="s">
        <v>681</v>
      </c>
      <c r="O198" s="2">
        <v>2</v>
      </c>
      <c r="P198" s="2" t="s">
        <v>841</v>
      </c>
      <c r="Q198" s="2" t="s">
        <v>842</v>
      </c>
      <c r="R198" s="2" t="s">
        <v>33</v>
      </c>
      <c r="S198" s="2" t="s">
        <v>27</v>
      </c>
      <c r="T198" s="2" t="s">
        <v>34</v>
      </c>
      <c r="U198" s="2" t="s">
        <v>35</v>
      </c>
      <c r="V198" s="2" t="s">
        <v>36</v>
      </c>
      <c r="W198" s="2" t="s">
        <v>37</v>
      </c>
      <c r="X198" s="4" t="s">
        <v>841</v>
      </c>
      <c r="Y198" s="4" t="s">
        <v>2501</v>
      </c>
      <c r="Z198" t="str">
        <f t="shared" si="18"/>
        <v>9779857821410</v>
      </c>
      <c r="AA198" t="str">
        <f t="shared" si="19"/>
        <v>9857821410</v>
      </c>
      <c r="AB198" t="str">
        <f t="shared" si="20"/>
        <v>9857821410</v>
      </c>
      <c r="AC198" t="str">
        <f t="shared" si="21"/>
        <v>+9779857821410</v>
      </c>
      <c r="AD198" t="str">
        <f t="shared" si="22"/>
        <v>Mobile</v>
      </c>
      <c r="AE198" t="str">
        <f t="shared" si="23"/>
        <v>Valid</v>
      </c>
    </row>
    <row r="199" spans="1:31" x14ac:dyDescent="0.3">
      <c r="A199" s="2" t="s">
        <v>844</v>
      </c>
      <c r="B199" s="2" t="s">
        <v>845</v>
      </c>
      <c r="C199" s="2" t="s">
        <v>846</v>
      </c>
      <c r="D199" s="2" t="s">
        <v>662</v>
      </c>
      <c r="E199" s="2" t="s">
        <v>846</v>
      </c>
      <c r="F199" s="2" t="s">
        <v>846</v>
      </c>
      <c r="G199" s="5" t="str" cm="1">
        <f t="array" ref="G199">IFERROR(INDEX(City_Lookup!$B$2:$B$297,MATCH(TRUE,ISNUMBER(SEARCH(City_Lookup!$A$2:$A$297,$F199&amp;" "&amp;$E199)),0)),"Not Available")</f>
        <v>Rupandehi</v>
      </c>
      <c r="H199" s="5" t="str">
        <f>IFERROR(INDEX(City_Lookup!$E$2:$E$66,MATCH($G199,City_Lookup!$D$2:$D$66,0)),"Not Available")</f>
        <v>Lumbini</v>
      </c>
      <c r="I199" s="2" t="s">
        <v>663</v>
      </c>
      <c r="J199" s="2" t="s">
        <v>29</v>
      </c>
      <c r="K199" s="2" t="s">
        <v>250</v>
      </c>
      <c r="L199" s="2"/>
      <c r="M199" s="2" t="s">
        <v>250</v>
      </c>
      <c r="N199" s="2" t="s">
        <v>664</v>
      </c>
      <c r="O199" s="2">
        <v>1</v>
      </c>
      <c r="P199" s="2" t="s">
        <v>847</v>
      </c>
      <c r="Q199" s="2" t="s">
        <v>848</v>
      </c>
      <c r="R199" s="2" t="s">
        <v>33</v>
      </c>
      <c r="S199" s="2" t="s">
        <v>27</v>
      </c>
      <c r="T199" s="2" t="s">
        <v>34</v>
      </c>
      <c r="U199" s="2" t="s">
        <v>35</v>
      </c>
      <c r="V199" s="2" t="s">
        <v>36</v>
      </c>
      <c r="W199" s="2" t="s">
        <v>37</v>
      </c>
      <c r="X199" s="4" t="s">
        <v>847</v>
      </c>
      <c r="Y199" s="4" t="s">
        <v>2501</v>
      </c>
      <c r="Z199" t="str">
        <f t="shared" si="18"/>
        <v>9779857025963</v>
      </c>
      <c r="AA199" t="str">
        <f t="shared" si="19"/>
        <v>9857025963</v>
      </c>
      <c r="AB199" t="str">
        <f t="shared" si="20"/>
        <v>9857025963</v>
      </c>
      <c r="AC199" t="str">
        <f t="shared" si="21"/>
        <v>+9779857025963</v>
      </c>
      <c r="AD199" t="str">
        <f t="shared" si="22"/>
        <v>Mobile</v>
      </c>
      <c r="AE199" t="str">
        <f t="shared" si="23"/>
        <v>Valid</v>
      </c>
    </row>
    <row r="200" spans="1:31" x14ac:dyDescent="0.3">
      <c r="A200" s="2" t="s">
        <v>849</v>
      </c>
      <c r="B200" s="2" t="s">
        <v>850</v>
      </c>
      <c r="C200" s="2" t="s">
        <v>851</v>
      </c>
      <c r="D200" s="2" t="s">
        <v>662</v>
      </c>
      <c r="E200" s="2" t="s">
        <v>851</v>
      </c>
      <c r="F200" s="2" t="s">
        <v>851</v>
      </c>
      <c r="G200" s="5" t="str" cm="1">
        <f t="array" ref="G200">IFERROR(INDEX(City_Lookup!$B$2:$B$297,MATCH(TRUE,ISNUMBER(SEARCH(City_Lookup!$A$2:$A$297,$F200&amp;" "&amp;$E200)),0)),"Not Available")</f>
        <v>Arghakhanchi</v>
      </c>
      <c r="H200" s="5" t="str">
        <f>IFERROR(INDEX(City_Lookup!$E$2:$E$66,MATCH($G200,City_Lookup!$D$2:$D$66,0)),"Not Available")</f>
        <v>Lumbini</v>
      </c>
      <c r="I200" s="2" t="s">
        <v>663</v>
      </c>
      <c r="J200" s="2" t="s">
        <v>29</v>
      </c>
      <c r="K200" s="2" t="s">
        <v>250</v>
      </c>
      <c r="L200" s="2"/>
      <c r="M200" s="2" t="s">
        <v>250</v>
      </c>
      <c r="N200" s="2" t="s">
        <v>664</v>
      </c>
      <c r="O200" s="2">
        <v>1</v>
      </c>
      <c r="P200" s="2" t="s">
        <v>847</v>
      </c>
      <c r="Q200" s="2" t="s">
        <v>852</v>
      </c>
      <c r="R200" s="2" t="s">
        <v>33</v>
      </c>
      <c r="S200" s="2" t="s">
        <v>27</v>
      </c>
      <c r="T200" s="2" t="s">
        <v>34</v>
      </c>
      <c r="U200" s="2" t="s">
        <v>35</v>
      </c>
      <c r="V200" s="2" t="s">
        <v>36</v>
      </c>
      <c r="W200" s="2" t="s">
        <v>37</v>
      </c>
      <c r="X200" s="4" t="s">
        <v>847</v>
      </c>
      <c r="Y200" s="4" t="s">
        <v>2501</v>
      </c>
      <c r="Z200" t="str">
        <f t="shared" si="18"/>
        <v>9779857025963</v>
      </c>
      <c r="AA200" t="str">
        <f t="shared" si="19"/>
        <v>9857025963</v>
      </c>
      <c r="AB200" t="str">
        <f t="shared" si="20"/>
        <v>9857025963</v>
      </c>
      <c r="AC200" t="str">
        <f t="shared" si="21"/>
        <v>+9779857025963</v>
      </c>
      <c r="AD200" t="str">
        <f t="shared" si="22"/>
        <v>Mobile</v>
      </c>
      <c r="AE200" t="str">
        <f t="shared" si="23"/>
        <v>Valid</v>
      </c>
    </row>
    <row r="201" spans="1:31" x14ac:dyDescent="0.3">
      <c r="A201" s="2" t="s">
        <v>853</v>
      </c>
      <c r="B201" s="2" t="s">
        <v>854</v>
      </c>
      <c r="C201" s="2" t="s">
        <v>855</v>
      </c>
      <c r="D201" s="2" t="s">
        <v>662</v>
      </c>
      <c r="E201" s="2" t="s">
        <v>855</v>
      </c>
      <c r="F201" s="2" t="s">
        <v>855</v>
      </c>
      <c r="G201" s="5" t="str" cm="1">
        <f t="array" ref="G201">IFERROR(INDEX(City_Lookup!$B$2:$B$297,MATCH(TRUE,ISNUMBER(SEARCH(City_Lookup!$A$2:$A$297,$F201&amp;" "&amp;$E201)),0)),"Not Available")</f>
        <v>Kathmandu</v>
      </c>
      <c r="H201" s="5" t="str">
        <f>IFERROR(INDEX(City_Lookup!$E$2:$E$66,MATCH($G201,City_Lookup!$D$2:$D$66,0)),"Not Available")</f>
        <v>Bagmati</v>
      </c>
      <c r="I201" s="2" t="s">
        <v>28</v>
      </c>
      <c r="J201" s="2" t="s">
        <v>29</v>
      </c>
      <c r="K201" s="2" t="s">
        <v>250</v>
      </c>
      <c r="L201" s="2"/>
      <c r="M201" s="2" t="s">
        <v>250</v>
      </c>
      <c r="N201" s="2" t="s">
        <v>681</v>
      </c>
      <c r="O201" s="2">
        <v>1</v>
      </c>
      <c r="P201" s="2" t="s">
        <v>857</v>
      </c>
      <c r="Q201" s="2" t="s">
        <v>858</v>
      </c>
      <c r="R201" s="2" t="s">
        <v>33</v>
      </c>
      <c r="S201" s="2" t="s">
        <v>27</v>
      </c>
      <c r="T201" s="2" t="s">
        <v>34</v>
      </c>
      <c r="U201" s="2" t="s">
        <v>35</v>
      </c>
      <c r="V201" s="2" t="s">
        <v>36</v>
      </c>
      <c r="W201" s="2" t="s">
        <v>37</v>
      </c>
      <c r="X201" s="4" t="s">
        <v>857</v>
      </c>
      <c r="Y201" s="4" t="s">
        <v>2501</v>
      </c>
      <c r="Z201" t="str">
        <f t="shared" si="18"/>
        <v>9779820105055</v>
      </c>
      <c r="AA201" t="str">
        <f t="shared" si="19"/>
        <v>9820105055</v>
      </c>
      <c r="AB201" t="str">
        <f t="shared" si="20"/>
        <v>9820105055</v>
      </c>
      <c r="AC201" t="str">
        <f t="shared" si="21"/>
        <v>+9779820105055</v>
      </c>
      <c r="AD201" t="str">
        <f t="shared" si="22"/>
        <v>Mobile</v>
      </c>
      <c r="AE201" t="str">
        <f t="shared" si="23"/>
        <v>Valid</v>
      </c>
    </row>
    <row r="202" spans="1:31" x14ac:dyDescent="0.3">
      <c r="A202" s="2" t="s">
        <v>859</v>
      </c>
      <c r="B202" s="2" t="s">
        <v>860</v>
      </c>
      <c r="C202" s="2" t="s">
        <v>861</v>
      </c>
      <c r="D202" s="2" t="s">
        <v>662</v>
      </c>
      <c r="E202" s="2" t="s">
        <v>861</v>
      </c>
      <c r="F202" s="2" t="s">
        <v>861</v>
      </c>
      <c r="G202" s="5" t="str" cm="1">
        <f t="array" ref="G202">IFERROR(INDEX(City_Lookup!$B$2:$B$297,MATCH(TRUE,ISNUMBER(SEARCH(City_Lookup!$A$2:$A$297,$F202&amp;" "&amp;$E202)),0)),"Not Available")</f>
        <v>Lalitpur</v>
      </c>
      <c r="H202" s="5" t="str">
        <f>IFERROR(INDEX(City_Lookup!$E$2:$E$66,MATCH($G202,City_Lookup!$D$2:$D$66,0)),"Not Available")</f>
        <v>Bagmati</v>
      </c>
      <c r="I202" s="2" t="s">
        <v>663</v>
      </c>
      <c r="J202" s="2" t="s">
        <v>29</v>
      </c>
      <c r="K202" s="2" t="s">
        <v>250</v>
      </c>
      <c r="L202" s="2"/>
      <c r="M202" s="2" t="s">
        <v>250</v>
      </c>
      <c r="N202" s="2" t="s">
        <v>664</v>
      </c>
      <c r="O202" s="2">
        <v>2</v>
      </c>
      <c r="P202" s="2" t="s">
        <v>863</v>
      </c>
      <c r="Q202" s="2" t="s">
        <v>864</v>
      </c>
      <c r="R202" s="2" t="s">
        <v>33</v>
      </c>
      <c r="S202" s="2" t="s">
        <v>27</v>
      </c>
      <c r="T202" s="2" t="s">
        <v>34</v>
      </c>
      <c r="U202" s="2" t="s">
        <v>35</v>
      </c>
      <c r="V202" s="2" t="s">
        <v>36</v>
      </c>
      <c r="W202" s="2" t="s">
        <v>37</v>
      </c>
      <c r="X202" s="4" t="s">
        <v>863</v>
      </c>
      <c r="Y202" s="4" t="s">
        <v>2501</v>
      </c>
      <c r="Z202" t="str">
        <f t="shared" si="18"/>
        <v>9779802326653</v>
      </c>
      <c r="AA202" t="str">
        <f t="shared" si="19"/>
        <v>9802326653</v>
      </c>
      <c r="AB202" t="str">
        <f t="shared" si="20"/>
        <v>9802326653</v>
      </c>
      <c r="AC202" t="str">
        <f t="shared" si="21"/>
        <v>+9779802326653</v>
      </c>
      <c r="AD202" t="str">
        <f t="shared" si="22"/>
        <v>Mobile</v>
      </c>
      <c r="AE202" t="str">
        <f t="shared" si="23"/>
        <v>Valid</v>
      </c>
    </row>
    <row r="203" spans="1:31" x14ac:dyDescent="0.3">
      <c r="A203" s="2" t="s">
        <v>859</v>
      </c>
      <c r="B203" s="2" t="s">
        <v>865</v>
      </c>
      <c r="C203" s="2" t="s">
        <v>861</v>
      </c>
      <c r="D203" s="2" t="s">
        <v>662</v>
      </c>
      <c r="E203" s="2" t="s">
        <v>861</v>
      </c>
      <c r="F203" s="2" t="s">
        <v>861</v>
      </c>
      <c r="G203" s="5" t="str" cm="1">
        <f t="array" ref="G203">IFERROR(INDEX(City_Lookup!$B$2:$B$297,MATCH(TRUE,ISNUMBER(SEARCH(City_Lookup!$A$2:$A$297,$F203&amp;" "&amp;$E203)),0)),"Not Available")</f>
        <v>Lalitpur</v>
      </c>
      <c r="H203" s="5" t="str">
        <f>IFERROR(INDEX(City_Lookup!$E$2:$E$66,MATCH($G203,City_Lookup!$D$2:$D$66,0)),"Not Available")</f>
        <v>Bagmati</v>
      </c>
      <c r="I203" s="2" t="s">
        <v>28</v>
      </c>
      <c r="J203" s="2" t="s">
        <v>29</v>
      </c>
      <c r="K203" s="2" t="s">
        <v>250</v>
      </c>
      <c r="L203" s="2"/>
      <c r="M203" s="2" t="s">
        <v>250</v>
      </c>
      <c r="N203" s="2" t="s">
        <v>681</v>
      </c>
      <c r="O203" s="2">
        <v>2</v>
      </c>
      <c r="P203" s="2" t="s">
        <v>863</v>
      </c>
      <c r="Q203" s="2" t="s">
        <v>864</v>
      </c>
      <c r="R203" s="2" t="s">
        <v>33</v>
      </c>
      <c r="S203" s="2" t="s">
        <v>27</v>
      </c>
      <c r="T203" s="2" t="s">
        <v>34</v>
      </c>
      <c r="U203" s="2" t="s">
        <v>35</v>
      </c>
      <c r="V203" s="2" t="s">
        <v>36</v>
      </c>
      <c r="W203" s="2" t="s">
        <v>37</v>
      </c>
      <c r="X203" s="4" t="s">
        <v>863</v>
      </c>
      <c r="Y203" s="4" t="s">
        <v>2501</v>
      </c>
      <c r="Z203" t="str">
        <f t="shared" si="18"/>
        <v>9779802326653</v>
      </c>
      <c r="AA203" t="str">
        <f t="shared" si="19"/>
        <v>9802326653</v>
      </c>
      <c r="AB203" t="str">
        <f t="shared" si="20"/>
        <v>9802326653</v>
      </c>
      <c r="AC203" t="str">
        <f t="shared" si="21"/>
        <v>+9779802326653</v>
      </c>
      <c r="AD203" t="str">
        <f t="shared" si="22"/>
        <v>Mobile</v>
      </c>
      <c r="AE203" t="str">
        <f t="shared" si="23"/>
        <v>Valid</v>
      </c>
    </row>
    <row r="204" spans="1:31" x14ac:dyDescent="0.3">
      <c r="A204" s="2" t="s">
        <v>866</v>
      </c>
      <c r="B204" s="2" t="s">
        <v>867</v>
      </c>
      <c r="C204" s="2" t="s">
        <v>868</v>
      </c>
      <c r="D204" s="2" t="s">
        <v>662</v>
      </c>
      <c r="E204" s="2" t="s">
        <v>868</v>
      </c>
      <c r="F204" s="2" t="s">
        <v>868</v>
      </c>
      <c r="G204" s="5" t="str" cm="1">
        <f t="array" ref="G204">IFERROR(INDEX(City_Lookup!$B$2:$B$297,MATCH(TRUE,ISNUMBER(SEARCH(City_Lookup!$A$2:$A$297,$F204&amp;" "&amp;$E204)),0)),"Not Available")</f>
        <v>Kathmandu</v>
      </c>
      <c r="H204" s="5" t="str">
        <f>IFERROR(INDEX(City_Lookup!$E$2:$E$66,MATCH($G204,City_Lookup!$D$2:$D$66,0)),"Not Available")</f>
        <v>Bagmati</v>
      </c>
      <c r="I204" s="2" t="s">
        <v>28</v>
      </c>
      <c r="J204" s="2" t="s">
        <v>29</v>
      </c>
      <c r="K204" s="2" t="s">
        <v>250</v>
      </c>
      <c r="L204" s="2"/>
      <c r="M204" s="2" t="s">
        <v>250</v>
      </c>
      <c r="N204" s="2" t="s">
        <v>681</v>
      </c>
      <c r="O204" s="2">
        <v>1</v>
      </c>
      <c r="P204" s="2" t="s">
        <v>27</v>
      </c>
      <c r="Q204" s="2" t="s">
        <v>869</v>
      </c>
      <c r="R204" s="2" t="s">
        <v>33</v>
      </c>
      <c r="S204" s="2" t="s">
        <v>27</v>
      </c>
      <c r="T204" s="2" t="s">
        <v>34</v>
      </c>
      <c r="U204" s="2" t="s">
        <v>35</v>
      </c>
      <c r="V204" s="2" t="s">
        <v>36</v>
      </c>
      <c r="W204" s="2" t="s">
        <v>37</v>
      </c>
      <c r="X204" s="4" t="s">
        <v>2487</v>
      </c>
      <c r="Y204" s="4" t="s">
        <v>2500</v>
      </c>
      <c r="Z204" t="str">
        <f t="shared" si="18"/>
        <v>9779801462823</v>
      </c>
      <c r="AA204" t="str">
        <f t="shared" si="19"/>
        <v>9801462823</v>
      </c>
      <c r="AB204" t="str">
        <f t="shared" si="20"/>
        <v>9801462823</v>
      </c>
      <c r="AC204" t="str">
        <f t="shared" si="21"/>
        <v>+9779801462823</v>
      </c>
      <c r="AD204" t="str">
        <f t="shared" si="22"/>
        <v>Mobile</v>
      </c>
      <c r="AE204" t="str">
        <f t="shared" si="23"/>
        <v>Valid</v>
      </c>
    </row>
    <row r="205" spans="1:31" x14ac:dyDescent="0.3">
      <c r="A205" s="2" t="s">
        <v>870</v>
      </c>
      <c r="B205" s="2" t="s">
        <v>871</v>
      </c>
      <c r="C205" s="2" t="s">
        <v>872</v>
      </c>
      <c r="D205" s="2" t="s">
        <v>662</v>
      </c>
      <c r="E205" s="2" t="s">
        <v>872</v>
      </c>
      <c r="F205" s="2" t="s">
        <v>872</v>
      </c>
      <c r="G205" s="5" t="str" cm="1">
        <f t="array" ref="G205">IFERROR(INDEX(City_Lookup!$B$2:$B$297,MATCH(TRUE,ISNUMBER(SEARCH(City_Lookup!$A$2:$A$297,$F205&amp;" "&amp;$E205)),0)),"Not Available")</f>
        <v>Dolakha</v>
      </c>
      <c r="H205" s="5" t="str">
        <f>IFERROR(INDEX(City_Lookup!$E$2:$E$66,MATCH($G205,City_Lookup!$D$2:$D$66,0)),"Not Available")</f>
        <v>Bagmati</v>
      </c>
      <c r="I205" s="2" t="s">
        <v>663</v>
      </c>
      <c r="J205" s="2" t="s">
        <v>29</v>
      </c>
      <c r="K205" s="2" t="s">
        <v>250</v>
      </c>
      <c r="L205" s="2"/>
      <c r="M205" s="2" t="s">
        <v>250</v>
      </c>
      <c r="N205" s="2" t="s">
        <v>664</v>
      </c>
      <c r="O205" s="2">
        <v>1</v>
      </c>
      <c r="P205" s="2" t="s">
        <v>824</v>
      </c>
      <c r="Q205" s="2" t="s">
        <v>874</v>
      </c>
      <c r="R205" s="2" t="s">
        <v>33</v>
      </c>
      <c r="S205" s="2" t="s">
        <v>27</v>
      </c>
      <c r="T205" s="2" t="s">
        <v>34</v>
      </c>
      <c r="U205" s="2" t="s">
        <v>35</v>
      </c>
      <c r="V205" s="2" t="s">
        <v>36</v>
      </c>
      <c r="W205" s="2" t="s">
        <v>37</v>
      </c>
      <c r="X205" s="4" t="s">
        <v>824</v>
      </c>
      <c r="Y205" s="4" t="s">
        <v>2501</v>
      </c>
      <c r="Z205" t="str">
        <f t="shared" si="18"/>
        <v>9779811724858</v>
      </c>
      <c r="AA205" t="str">
        <f t="shared" si="19"/>
        <v>9811724858</v>
      </c>
      <c r="AB205" t="str">
        <f t="shared" si="20"/>
        <v>9811724858</v>
      </c>
      <c r="AC205" t="str">
        <f t="shared" si="21"/>
        <v>+9779811724858</v>
      </c>
      <c r="AD205" t="str">
        <f t="shared" si="22"/>
        <v>Mobile</v>
      </c>
      <c r="AE205" t="str">
        <f t="shared" si="23"/>
        <v>Valid</v>
      </c>
    </row>
    <row r="206" spans="1:31" x14ac:dyDescent="0.3">
      <c r="A206" s="2" t="s">
        <v>875</v>
      </c>
      <c r="B206" s="2" t="s">
        <v>876</v>
      </c>
      <c r="C206" s="2" t="s">
        <v>877</v>
      </c>
      <c r="D206" s="2" t="s">
        <v>662</v>
      </c>
      <c r="E206" s="2" t="s">
        <v>877</v>
      </c>
      <c r="F206" s="2" t="s">
        <v>877</v>
      </c>
      <c r="G206" s="5" t="str" cm="1">
        <f t="array" ref="G206">IFERROR(INDEX(City_Lookup!$B$2:$B$297,MATCH(TRUE,ISNUMBER(SEARCH(City_Lookup!$A$2:$A$297,$F206&amp;" "&amp;$E206)),0)),"Not Available")</f>
        <v>Dolakha</v>
      </c>
      <c r="H206" s="5" t="str">
        <f>IFERROR(INDEX(City_Lookup!$E$2:$E$66,MATCH($G206,City_Lookup!$D$2:$D$66,0)),"Not Available")</f>
        <v>Bagmati</v>
      </c>
      <c r="I206" s="2" t="s">
        <v>663</v>
      </c>
      <c r="J206" s="2" t="s">
        <v>29</v>
      </c>
      <c r="K206" s="2" t="s">
        <v>250</v>
      </c>
      <c r="L206" s="2"/>
      <c r="M206" s="2" t="s">
        <v>250</v>
      </c>
      <c r="N206" s="2" t="s">
        <v>664</v>
      </c>
      <c r="O206" s="2">
        <v>1</v>
      </c>
      <c r="P206" s="2" t="s">
        <v>824</v>
      </c>
      <c r="Q206" s="2" t="s">
        <v>878</v>
      </c>
      <c r="R206" s="2" t="s">
        <v>33</v>
      </c>
      <c r="S206" s="2" t="s">
        <v>27</v>
      </c>
      <c r="T206" s="2" t="s">
        <v>34</v>
      </c>
      <c r="U206" s="2" t="s">
        <v>35</v>
      </c>
      <c r="V206" s="2" t="s">
        <v>36</v>
      </c>
      <c r="W206" s="2" t="s">
        <v>37</v>
      </c>
      <c r="X206" s="4" t="s">
        <v>824</v>
      </c>
      <c r="Y206" s="4" t="s">
        <v>2501</v>
      </c>
      <c r="Z206" t="str">
        <f t="shared" si="18"/>
        <v>9779811724858</v>
      </c>
      <c r="AA206" t="str">
        <f t="shared" si="19"/>
        <v>9811724858</v>
      </c>
      <c r="AB206" t="str">
        <f t="shared" si="20"/>
        <v>9811724858</v>
      </c>
      <c r="AC206" t="str">
        <f t="shared" si="21"/>
        <v>+9779811724858</v>
      </c>
      <c r="AD206" t="str">
        <f t="shared" si="22"/>
        <v>Mobile</v>
      </c>
      <c r="AE206" t="str">
        <f t="shared" si="23"/>
        <v>Valid</v>
      </c>
    </row>
    <row r="207" spans="1:31" x14ac:dyDescent="0.3">
      <c r="A207" s="2" t="s">
        <v>879</v>
      </c>
      <c r="B207" s="2" t="s">
        <v>880</v>
      </c>
      <c r="C207" s="2" t="s">
        <v>881</v>
      </c>
      <c r="D207" s="2" t="s">
        <v>662</v>
      </c>
      <c r="E207" s="2" t="s">
        <v>881</v>
      </c>
      <c r="F207" s="2" t="s">
        <v>881</v>
      </c>
      <c r="G207" s="5" t="str" cm="1">
        <f t="array" ref="G207">IFERROR(INDEX(City_Lookup!$B$2:$B$297,MATCH(TRUE,ISNUMBER(SEARCH(City_Lookup!$A$2:$A$297,$F207&amp;" "&amp;$E207)),0)),"Not Available")</f>
        <v>Syangja</v>
      </c>
      <c r="H207" s="5" t="str">
        <f>IFERROR(INDEX(City_Lookup!$E$2:$E$66,MATCH($G207,City_Lookup!$D$2:$D$66,0)),"Not Available")</f>
        <v>Gandaki</v>
      </c>
      <c r="I207" s="2" t="s">
        <v>663</v>
      </c>
      <c r="J207" s="2" t="s">
        <v>29</v>
      </c>
      <c r="K207" s="2" t="s">
        <v>250</v>
      </c>
      <c r="L207" s="2"/>
      <c r="M207" s="2" t="s">
        <v>250</v>
      </c>
      <c r="N207" s="2" t="s">
        <v>664</v>
      </c>
      <c r="O207" s="2">
        <v>1</v>
      </c>
      <c r="P207" s="2" t="s">
        <v>883</v>
      </c>
      <c r="Q207" s="2" t="s">
        <v>884</v>
      </c>
      <c r="R207" s="2" t="s">
        <v>33</v>
      </c>
      <c r="S207" s="2" t="s">
        <v>27</v>
      </c>
      <c r="T207" s="2" t="s">
        <v>34</v>
      </c>
      <c r="U207" s="2" t="s">
        <v>35</v>
      </c>
      <c r="V207" s="2" t="s">
        <v>36</v>
      </c>
      <c r="W207" s="2" t="s">
        <v>37</v>
      </c>
      <c r="X207" s="4" t="s">
        <v>883</v>
      </c>
      <c r="Y207" s="4" t="s">
        <v>2501</v>
      </c>
      <c r="Z207" t="str">
        <f t="shared" si="18"/>
        <v>9779846095201</v>
      </c>
      <c r="AA207" t="str">
        <f t="shared" si="19"/>
        <v>9846095201</v>
      </c>
      <c r="AB207" t="str">
        <f t="shared" si="20"/>
        <v>9846095201</v>
      </c>
      <c r="AC207" t="str">
        <f t="shared" si="21"/>
        <v>+9779846095201</v>
      </c>
      <c r="AD207" t="str">
        <f t="shared" si="22"/>
        <v>Mobile</v>
      </c>
      <c r="AE207" t="str">
        <f t="shared" si="23"/>
        <v>Valid</v>
      </c>
    </row>
    <row r="208" spans="1:31" x14ac:dyDescent="0.3">
      <c r="A208" s="2" t="s">
        <v>885</v>
      </c>
      <c r="B208" s="2" t="s">
        <v>886</v>
      </c>
      <c r="C208" s="2" t="s">
        <v>887</v>
      </c>
      <c r="D208" s="2" t="s">
        <v>662</v>
      </c>
      <c r="E208" s="2" t="s">
        <v>887</v>
      </c>
      <c r="F208" s="2" t="s">
        <v>887</v>
      </c>
      <c r="G208" s="5" t="str" cm="1">
        <f t="array" ref="G208">IFERROR(INDEX(City_Lookup!$B$2:$B$297,MATCH(TRUE,ISNUMBER(SEARCH(City_Lookup!$A$2:$A$297,$F208&amp;" "&amp;$E208)),0)),"Not Available")</f>
        <v>Jhapa</v>
      </c>
      <c r="H208" s="5" t="str">
        <f>IFERROR(INDEX(City_Lookup!$E$2:$E$66,MATCH($G208,City_Lookup!$D$2:$D$66,0)),"Not Available")</f>
        <v>Koshi</v>
      </c>
      <c r="I208" s="2" t="s">
        <v>663</v>
      </c>
      <c r="J208" s="2" t="s">
        <v>29</v>
      </c>
      <c r="K208" s="2" t="s">
        <v>250</v>
      </c>
      <c r="L208" s="2"/>
      <c r="M208" s="2" t="s">
        <v>250</v>
      </c>
      <c r="N208" s="2" t="s">
        <v>664</v>
      </c>
      <c r="O208" s="2">
        <v>1</v>
      </c>
      <c r="P208" s="2" t="s">
        <v>27</v>
      </c>
      <c r="Q208" s="2" t="s">
        <v>888</v>
      </c>
      <c r="R208" s="2" t="s">
        <v>33</v>
      </c>
      <c r="S208" s="2" t="s">
        <v>27</v>
      </c>
      <c r="T208" s="2" t="s">
        <v>34</v>
      </c>
      <c r="U208" s="2" t="s">
        <v>35</v>
      </c>
      <c r="V208" s="2" t="s">
        <v>36</v>
      </c>
      <c r="W208" s="2" t="s">
        <v>37</v>
      </c>
      <c r="X208" s="4" t="s">
        <v>2487</v>
      </c>
      <c r="Y208" s="4" t="s">
        <v>2500</v>
      </c>
      <c r="Z208" t="str">
        <f t="shared" si="18"/>
        <v>9779801462823</v>
      </c>
      <c r="AA208" t="str">
        <f t="shared" si="19"/>
        <v>9801462823</v>
      </c>
      <c r="AB208" t="str">
        <f t="shared" si="20"/>
        <v>9801462823</v>
      </c>
      <c r="AC208" t="str">
        <f t="shared" si="21"/>
        <v>+9779801462823</v>
      </c>
      <c r="AD208" t="str">
        <f t="shared" si="22"/>
        <v>Mobile</v>
      </c>
      <c r="AE208" t="str">
        <f t="shared" si="23"/>
        <v>Valid</v>
      </c>
    </row>
    <row r="209" spans="1:31" x14ac:dyDescent="0.3">
      <c r="A209" s="2" t="s">
        <v>889</v>
      </c>
      <c r="B209" s="2" t="s">
        <v>890</v>
      </c>
      <c r="C209" s="2" t="s">
        <v>891</v>
      </c>
      <c r="D209" s="2" t="s">
        <v>662</v>
      </c>
      <c r="E209" s="2" t="s">
        <v>891</v>
      </c>
      <c r="F209" s="2" t="s">
        <v>891</v>
      </c>
      <c r="G209" s="5" t="str" cm="1">
        <f t="array" ref="G209">IFERROR(INDEX(City_Lookup!$B$2:$B$297,MATCH(TRUE,ISNUMBER(SEARCH(City_Lookup!$A$2:$A$297,$F209&amp;" "&amp;$E209)),0)),"Not Available")</f>
        <v>Dhading</v>
      </c>
      <c r="H209" s="5" t="str">
        <f>IFERROR(INDEX(City_Lookup!$E$2:$E$66,MATCH($G209,City_Lookup!$D$2:$D$66,0)),"Not Available")</f>
        <v>Bagmati</v>
      </c>
      <c r="I209" s="2" t="s">
        <v>28</v>
      </c>
      <c r="J209" s="2" t="s">
        <v>29</v>
      </c>
      <c r="K209" s="2" t="s">
        <v>250</v>
      </c>
      <c r="L209" s="2"/>
      <c r="M209" s="2" t="s">
        <v>250</v>
      </c>
      <c r="N209" s="2" t="s">
        <v>681</v>
      </c>
      <c r="O209" s="2">
        <v>2</v>
      </c>
      <c r="P209" s="2" t="s">
        <v>893</v>
      </c>
      <c r="Q209" s="2" t="s">
        <v>894</v>
      </c>
      <c r="R209" s="2" t="s">
        <v>33</v>
      </c>
      <c r="S209" s="2" t="s">
        <v>27</v>
      </c>
      <c r="T209" s="2" t="s">
        <v>34</v>
      </c>
      <c r="U209" s="2" t="s">
        <v>35</v>
      </c>
      <c r="V209" s="2" t="s">
        <v>36</v>
      </c>
      <c r="W209" s="2" t="s">
        <v>37</v>
      </c>
      <c r="X209" s="4" t="s">
        <v>893</v>
      </c>
      <c r="Y209" s="4" t="s">
        <v>2501</v>
      </c>
      <c r="Z209" t="str">
        <f t="shared" si="18"/>
        <v>9779851051074</v>
      </c>
      <c r="AA209" t="str">
        <f t="shared" si="19"/>
        <v>9851051074</v>
      </c>
      <c r="AB209" t="str">
        <f t="shared" si="20"/>
        <v>9851051074</v>
      </c>
      <c r="AC209" t="str">
        <f t="shared" si="21"/>
        <v>+9779851051074</v>
      </c>
      <c r="AD209" t="str">
        <f t="shared" si="22"/>
        <v>Mobile</v>
      </c>
      <c r="AE209" t="str">
        <f t="shared" si="23"/>
        <v>Valid</v>
      </c>
    </row>
    <row r="210" spans="1:31" x14ac:dyDescent="0.3">
      <c r="A210" s="2" t="s">
        <v>889</v>
      </c>
      <c r="B210" s="2" t="s">
        <v>895</v>
      </c>
      <c r="C210" s="2" t="s">
        <v>891</v>
      </c>
      <c r="D210" s="2" t="s">
        <v>662</v>
      </c>
      <c r="E210" s="2" t="s">
        <v>891</v>
      </c>
      <c r="F210" s="2" t="s">
        <v>891</v>
      </c>
      <c r="G210" s="5" t="str" cm="1">
        <f t="array" ref="G210">IFERROR(INDEX(City_Lookup!$B$2:$B$297,MATCH(TRUE,ISNUMBER(SEARCH(City_Lookup!$A$2:$A$297,$F210&amp;" "&amp;$E210)),0)),"Not Available")</f>
        <v>Dhading</v>
      </c>
      <c r="H210" s="5" t="str">
        <f>IFERROR(INDEX(City_Lookup!$E$2:$E$66,MATCH($G210,City_Lookup!$D$2:$D$66,0)),"Not Available")</f>
        <v>Bagmati</v>
      </c>
      <c r="I210" s="2" t="s">
        <v>663</v>
      </c>
      <c r="J210" s="2" t="s">
        <v>29</v>
      </c>
      <c r="K210" s="2" t="s">
        <v>250</v>
      </c>
      <c r="L210" s="2"/>
      <c r="M210" s="2" t="s">
        <v>250</v>
      </c>
      <c r="N210" s="2" t="s">
        <v>664</v>
      </c>
      <c r="O210" s="2">
        <v>2</v>
      </c>
      <c r="P210" s="2" t="s">
        <v>893</v>
      </c>
      <c r="Q210" s="2" t="s">
        <v>894</v>
      </c>
      <c r="R210" s="2" t="s">
        <v>33</v>
      </c>
      <c r="S210" s="2" t="s">
        <v>27</v>
      </c>
      <c r="T210" s="2" t="s">
        <v>34</v>
      </c>
      <c r="U210" s="2" t="s">
        <v>35</v>
      </c>
      <c r="V210" s="2" t="s">
        <v>36</v>
      </c>
      <c r="W210" s="2" t="s">
        <v>37</v>
      </c>
      <c r="X210" s="4" t="s">
        <v>893</v>
      </c>
      <c r="Y210" s="4" t="s">
        <v>2501</v>
      </c>
      <c r="Z210" t="str">
        <f t="shared" si="18"/>
        <v>9779851051074</v>
      </c>
      <c r="AA210" t="str">
        <f t="shared" si="19"/>
        <v>9851051074</v>
      </c>
      <c r="AB210" t="str">
        <f t="shared" si="20"/>
        <v>9851051074</v>
      </c>
      <c r="AC210" t="str">
        <f t="shared" si="21"/>
        <v>+9779851051074</v>
      </c>
      <c r="AD210" t="str">
        <f t="shared" si="22"/>
        <v>Mobile</v>
      </c>
      <c r="AE210" t="str">
        <f t="shared" si="23"/>
        <v>Valid</v>
      </c>
    </row>
    <row r="211" spans="1:31" x14ac:dyDescent="0.3">
      <c r="A211" s="2" t="s">
        <v>896</v>
      </c>
      <c r="B211" s="2" t="s">
        <v>897</v>
      </c>
      <c r="C211" s="2" t="s">
        <v>898</v>
      </c>
      <c r="D211" s="2" t="s">
        <v>662</v>
      </c>
      <c r="E211" s="2" t="s">
        <v>898</v>
      </c>
      <c r="F211" s="2" t="s">
        <v>898</v>
      </c>
      <c r="G211" s="5" t="str" cm="1">
        <f t="array" ref="G211">IFERROR(INDEX(City_Lookup!$B$2:$B$297,MATCH(TRUE,ISNUMBER(SEARCH(City_Lookup!$A$2:$A$297,$F211&amp;" "&amp;$E211)),0)),"Not Available")</f>
        <v>Jhapa</v>
      </c>
      <c r="H211" s="5" t="str">
        <f>IFERROR(INDEX(City_Lookup!$E$2:$E$66,MATCH($G211,City_Lookup!$D$2:$D$66,0)),"Not Available")</f>
        <v>Koshi</v>
      </c>
      <c r="I211" s="2" t="s">
        <v>663</v>
      </c>
      <c r="J211" s="2" t="s">
        <v>29</v>
      </c>
      <c r="K211" s="2" t="s">
        <v>250</v>
      </c>
      <c r="L211" s="2"/>
      <c r="M211" s="2" t="s">
        <v>250</v>
      </c>
      <c r="N211" s="2" t="s">
        <v>664</v>
      </c>
      <c r="O211" s="2">
        <v>1</v>
      </c>
      <c r="P211" s="2" t="s">
        <v>27</v>
      </c>
      <c r="Q211" s="2" t="s">
        <v>899</v>
      </c>
      <c r="R211" s="2" t="s">
        <v>33</v>
      </c>
      <c r="S211" s="2" t="s">
        <v>27</v>
      </c>
      <c r="T211" s="2" t="s">
        <v>34</v>
      </c>
      <c r="U211" s="2" t="s">
        <v>35</v>
      </c>
      <c r="V211" s="2" t="s">
        <v>36</v>
      </c>
      <c r="W211" s="2" t="s">
        <v>37</v>
      </c>
      <c r="X211" s="4" t="s">
        <v>2487</v>
      </c>
      <c r="Y211" s="4" t="s">
        <v>2500</v>
      </c>
      <c r="Z211" t="str">
        <f t="shared" si="18"/>
        <v>9779801462823</v>
      </c>
      <c r="AA211" t="str">
        <f t="shared" si="19"/>
        <v>9801462823</v>
      </c>
      <c r="AB211" t="str">
        <f t="shared" si="20"/>
        <v>9801462823</v>
      </c>
      <c r="AC211" t="str">
        <f t="shared" si="21"/>
        <v>+9779801462823</v>
      </c>
      <c r="AD211" t="str">
        <f t="shared" si="22"/>
        <v>Mobile</v>
      </c>
      <c r="AE211" t="str">
        <f t="shared" si="23"/>
        <v>Valid</v>
      </c>
    </row>
    <row r="212" spans="1:31" x14ac:dyDescent="0.3">
      <c r="A212" s="2" t="s">
        <v>900</v>
      </c>
      <c r="B212" s="2" t="s">
        <v>901</v>
      </c>
      <c r="C212" s="2" t="s">
        <v>902</v>
      </c>
      <c r="D212" s="2" t="s">
        <v>662</v>
      </c>
      <c r="E212" s="2" t="s">
        <v>902</v>
      </c>
      <c r="F212" s="2" t="s">
        <v>902</v>
      </c>
      <c r="G212" s="5" t="str" cm="1">
        <f t="array" ref="G212">IFERROR(INDEX(City_Lookup!$B$2:$B$297,MATCH(TRUE,ISNUMBER(SEARCH(City_Lookup!$A$2:$A$297,$F212&amp;" "&amp;$E212)),0)),"Not Available")</f>
        <v>Jhapa</v>
      </c>
      <c r="H212" s="5" t="str">
        <f>IFERROR(INDEX(City_Lookup!$E$2:$E$66,MATCH($G212,City_Lookup!$D$2:$D$66,0)),"Not Available")</f>
        <v>Koshi</v>
      </c>
      <c r="I212" s="2" t="s">
        <v>28</v>
      </c>
      <c r="J212" s="2" t="s">
        <v>29</v>
      </c>
      <c r="K212" s="2" t="s">
        <v>250</v>
      </c>
      <c r="L212" s="2"/>
      <c r="M212" s="2" t="s">
        <v>250</v>
      </c>
      <c r="N212" s="2" t="s">
        <v>681</v>
      </c>
      <c r="O212" s="2">
        <v>1</v>
      </c>
      <c r="P212" s="2" t="s">
        <v>27</v>
      </c>
      <c r="Q212" s="2" t="s">
        <v>903</v>
      </c>
      <c r="R212" s="2" t="s">
        <v>33</v>
      </c>
      <c r="S212" s="2" t="s">
        <v>27</v>
      </c>
      <c r="T212" s="2" t="s">
        <v>34</v>
      </c>
      <c r="U212" s="2" t="s">
        <v>35</v>
      </c>
      <c r="V212" s="2" t="s">
        <v>36</v>
      </c>
      <c r="W212" s="2" t="s">
        <v>37</v>
      </c>
      <c r="X212" s="4" t="s">
        <v>2487</v>
      </c>
      <c r="Y212" s="4" t="s">
        <v>2500</v>
      </c>
      <c r="Z212" t="str">
        <f t="shared" si="18"/>
        <v>9779801462823</v>
      </c>
      <c r="AA212" t="str">
        <f t="shared" si="19"/>
        <v>9801462823</v>
      </c>
      <c r="AB212" t="str">
        <f t="shared" si="20"/>
        <v>9801462823</v>
      </c>
      <c r="AC212" t="str">
        <f t="shared" si="21"/>
        <v>+9779801462823</v>
      </c>
      <c r="AD212" t="str">
        <f t="shared" si="22"/>
        <v>Mobile</v>
      </c>
      <c r="AE212" t="str">
        <f t="shared" si="23"/>
        <v>Valid</v>
      </c>
    </row>
    <row r="213" spans="1:31" x14ac:dyDescent="0.3">
      <c r="A213" s="2" t="s">
        <v>904</v>
      </c>
      <c r="B213" s="2" t="s">
        <v>905</v>
      </c>
      <c r="C213" s="2" t="s">
        <v>906</v>
      </c>
      <c r="D213" s="2" t="s">
        <v>662</v>
      </c>
      <c r="E213" s="2" t="s">
        <v>906</v>
      </c>
      <c r="F213" s="2" t="s">
        <v>906</v>
      </c>
      <c r="G213" s="5" t="str" cm="1">
        <f t="array" ref="G213">IFERROR(INDEX(City_Lookup!$B$2:$B$297,MATCH(TRUE,ISNUMBER(SEARCH(City_Lookup!$A$2:$A$297,$F213&amp;" "&amp;$E213)),0)),"Not Available")</f>
        <v>Panchthar</v>
      </c>
      <c r="H213" s="5" t="str">
        <f>IFERROR(INDEX(City_Lookup!$E$2:$E$66,MATCH($G213,City_Lookup!$D$2:$D$66,0)),"Not Available")</f>
        <v>Koshi</v>
      </c>
      <c r="I213" s="2" t="s">
        <v>663</v>
      </c>
      <c r="J213" s="2" t="s">
        <v>29</v>
      </c>
      <c r="K213" s="2" t="s">
        <v>250</v>
      </c>
      <c r="L213" s="2"/>
      <c r="M213" s="2" t="s">
        <v>250</v>
      </c>
      <c r="N213" s="2" t="s">
        <v>664</v>
      </c>
      <c r="O213" s="2">
        <v>1</v>
      </c>
      <c r="P213" s="2" t="s">
        <v>27</v>
      </c>
      <c r="Q213" s="2" t="s">
        <v>909</v>
      </c>
      <c r="R213" s="2" t="s">
        <v>33</v>
      </c>
      <c r="S213" s="2" t="s">
        <v>27</v>
      </c>
      <c r="T213" s="2" t="s">
        <v>34</v>
      </c>
      <c r="U213" s="2" t="s">
        <v>35</v>
      </c>
      <c r="V213" s="2" t="s">
        <v>36</v>
      </c>
      <c r="W213" s="2" t="s">
        <v>37</v>
      </c>
      <c r="X213" s="4" t="s">
        <v>2487</v>
      </c>
      <c r="Y213" s="4" t="s">
        <v>2500</v>
      </c>
      <c r="Z213" t="str">
        <f t="shared" si="18"/>
        <v>9779801462823</v>
      </c>
      <c r="AA213" t="str">
        <f t="shared" si="19"/>
        <v>9801462823</v>
      </c>
      <c r="AB213" t="str">
        <f t="shared" si="20"/>
        <v>9801462823</v>
      </c>
      <c r="AC213" t="str">
        <f t="shared" si="21"/>
        <v>+9779801462823</v>
      </c>
      <c r="AD213" t="str">
        <f t="shared" si="22"/>
        <v>Mobile</v>
      </c>
      <c r="AE213" t="str">
        <f t="shared" si="23"/>
        <v>Valid</v>
      </c>
    </row>
    <row r="214" spans="1:31" x14ac:dyDescent="0.3">
      <c r="A214" s="2" t="s">
        <v>910</v>
      </c>
      <c r="B214" s="2" t="s">
        <v>911</v>
      </c>
      <c r="C214" s="2" t="s">
        <v>912</v>
      </c>
      <c r="D214" s="2" t="s">
        <v>662</v>
      </c>
      <c r="E214" s="2" t="s">
        <v>912</v>
      </c>
      <c r="F214" s="2" t="s">
        <v>912</v>
      </c>
      <c r="G214" s="5" t="str" cm="1">
        <f t="array" ref="G214">IFERROR(INDEX(City_Lookup!$B$2:$B$297,MATCH(TRUE,ISNUMBER(SEARCH(City_Lookup!$A$2:$A$297,$F214&amp;" "&amp;$E214)),0)),"Not Available")</f>
        <v>Sunsari</v>
      </c>
      <c r="H214" s="5" t="str">
        <f>IFERROR(INDEX(City_Lookup!$E$2:$E$66,MATCH($G214,City_Lookup!$D$2:$D$66,0)),"Not Available")</f>
        <v>Koshi</v>
      </c>
      <c r="I214" s="2" t="s">
        <v>663</v>
      </c>
      <c r="J214" s="2" t="s">
        <v>29</v>
      </c>
      <c r="K214" s="2" t="s">
        <v>250</v>
      </c>
      <c r="L214" s="2"/>
      <c r="M214" s="2" t="s">
        <v>250</v>
      </c>
      <c r="N214" s="2" t="s">
        <v>664</v>
      </c>
      <c r="O214" s="2">
        <v>1</v>
      </c>
      <c r="P214" s="2" t="s">
        <v>27</v>
      </c>
      <c r="Q214" s="2" t="s">
        <v>913</v>
      </c>
      <c r="R214" s="2" t="s">
        <v>33</v>
      </c>
      <c r="S214" s="2" t="s">
        <v>27</v>
      </c>
      <c r="T214" s="2" t="s">
        <v>34</v>
      </c>
      <c r="U214" s="2" t="s">
        <v>35</v>
      </c>
      <c r="V214" s="2" t="s">
        <v>36</v>
      </c>
      <c r="W214" s="2" t="s">
        <v>37</v>
      </c>
      <c r="X214" s="4" t="s">
        <v>2487</v>
      </c>
      <c r="Y214" s="4" t="s">
        <v>2500</v>
      </c>
      <c r="Z214" t="str">
        <f t="shared" si="18"/>
        <v>9779801462823</v>
      </c>
      <c r="AA214" t="str">
        <f t="shared" si="19"/>
        <v>9801462823</v>
      </c>
      <c r="AB214" t="str">
        <f t="shared" si="20"/>
        <v>9801462823</v>
      </c>
      <c r="AC214" t="str">
        <f t="shared" si="21"/>
        <v>+9779801462823</v>
      </c>
      <c r="AD214" t="str">
        <f t="shared" si="22"/>
        <v>Mobile</v>
      </c>
      <c r="AE214" t="str">
        <f t="shared" si="23"/>
        <v>Valid</v>
      </c>
    </row>
    <row r="215" spans="1:31" x14ac:dyDescent="0.3">
      <c r="A215" s="2" t="s">
        <v>914</v>
      </c>
      <c r="B215" s="2" t="s">
        <v>915</v>
      </c>
      <c r="C215" s="2" t="s">
        <v>916</v>
      </c>
      <c r="D215" s="2" t="s">
        <v>662</v>
      </c>
      <c r="E215" s="2" t="s">
        <v>916</v>
      </c>
      <c r="F215" s="2" t="s">
        <v>916</v>
      </c>
      <c r="G215" s="5" t="str" cm="1">
        <f t="array" ref="G215">IFERROR(INDEX(City_Lookup!$B$2:$B$297,MATCH(TRUE,ISNUMBER(SEARCH(City_Lookup!$A$2:$A$297,$F215&amp;" "&amp;$E215)),0)),"Not Available")</f>
        <v>Saptari</v>
      </c>
      <c r="H215" s="5" t="str">
        <f>IFERROR(INDEX(City_Lookup!$E$2:$E$66,MATCH($G215,City_Lookup!$D$2:$D$66,0)),"Not Available")</f>
        <v>Madhesh</v>
      </c>
      <c r="I215" s="2" t="s">
        <v>663</v>
      </c>
      <c r="J215" s="2" t="s">
        <v>29</v>
      </c>
      <c r="K215" s="2" t="s">
        <v>250</v>
      </c>
      <c r="L215" s="2"/>
      <c r="M215" s="2" t="s">
        <v>250</v>
      </c>
      <c r="N215" s="2" t="s">
        <v>664</v>
      </c>
      <c r="O215" s="2">
        <v>1</v>
      </c>
      <c r="P215" s="2" t="s">
        <v>27</v>
      </c>
      <c r="Q215" s="2" t="s">
        <v>919</v>
      </c>
      <c r="R215" s="2" t="s">
        <v>33</v>
      </c>
      <c r="S215" s="2" t="s">
        <v>27</v>
      </c>
      <c r="T215" s="2" t="s">
        <v>34</v>
      </c>
      <c r="U215" s="2" t="s">
        <v>35</v>
      </c>
      <c r="V215" s="2" t="s">
        <v>36</v>
      </c>
      <c r="W215" s="2" t="s">
        <v>37</v>
      </c>
      <c r="X215" s="4" t="s">
        <v>2487</v>
      </c>
      <c r="Y215" s="4" t="s">
        <v>2500</v>
      </c>
      <c r="Z215" t="str">
        <f t="shared" si="18"/>
        <v>9779801462823</v>
      </c>
      <c r="AA215" t="str">
        <f t="shared" si="19"/>
        <v>9801462823</v>
      </c>
      <c r="AB215" t="str">
        <f t="shared" si="20"/>
        <v>9801462823</v>
      </c>
      <c r="AC215" t="str">
        <f t="shared" si="21"/>
        <v>+9779801462823</v>
      </c>
      <c r="AD215" t="str">
        <f t="shared" si="22"/>
        <v>Mobile</v>
      </c>
      <c r="AE215" t="str">
        <f t="shared" si="23"/>
        <v>Valid</v>
      </c>
    </row>
    <row r="216" spans="1:31" x14ac:dyDescent="0.3">
      <c r="A216" s="2" t="s">
        <v>920</v>
      </c>
      <c r="B216" s="2" t="s">
        <v>921</v>
      </c>
      <c r="C216" s="2" t="s">
        <v>163</v>
      </c>
      <c r="D216" s="2" t="s">
        <v>662</v>
      </c>
      <c r="E216" s="2" t="s">
        <v>163</v>
      </c>
      <c r="F216" s="2" t="s">
        <v>163</v>
      </c>
      <c r="G216" s="5" t="str" cm="1">
        <f t="array" ref="G216">IFERROR(INDEX(City_Lookup!$B$2:$B$297,MATCH(TRUE,ISNUMBER(SEARCH(City_Lookup!$A$2:$A$297,$F216&amp;" "&amp;$E216)),0)),"Not Available")</f>
        <v>Sunsari</v>
      </c>
      <c r="H216" s="5" t="str">
        <f>IFERROR(INDEX(City_Lookup!$E$2:$E$66,MATCH($G216,City_Lookup!$D$2:$D$66,0)),"Not Available")</f>
        <v>Koshi</v>
      </c>
      <c r="I216" s="2" t="s">
        <v>28</v>
      </c>
      <c r="J216" s="2" t="s">
        <v>29</v>
      </c>
      <c r="K216" s="2" t="s">
        <v>250</v>
      </c>
      <c r="L216" s="2"/>
      <c r="M216" s="2" t="s">
        <v>250</v>
      </c>
      <c r="N216" s="2" t="s">
        <v>681</v>
      </c>
      <c r="O216" s="2">
        <v>1</v>
      </c>
      <c r="P216" s="2" t="s">
        <v>27</v>
      </c>
      <c r="Q216" s="2" t="s">
        <v>922</v>
      </c>
      <c r="R216" s="2" t="s">
        <v>33</v>
      </c>
      <c r="S216" s="2" t="s">
        <v>27</v>
      </c>
      <c r="T216" s="2" t="s">
        <v>34</v>
      </c>
      <c r="U216" s="2" t="s">
        <v>35</v>
      </c>
      <c r="V216" s="2" t="s">
        <v>36</v>
      </c>
      <c r="W216" s="2" t="s">
        <v>37</v>
      </c>
      <c r="X216" s="4" t="s">
        <v>2490</v>
      </c>
      <c r="Y216" s="4" t="s">
        <v>2502</v>
      </c>
      <c r="Z216" t="str">
        <f t="shared" si="18"/>
        <v>9779761888797</v>
      </c>
      <c r="AA216" t="str">
        <f t="shared" si="19"/>
        <v>9761888797</v>
      </c>
      <c r="AB216" t="str">
        <f t="shared" si="20"/>
        <v>9761888797</v>
      </c>
      <c r="AC216" t="str">
        <f t="shared" si="21"/>
        <v>+9779761888797</v>
      </c>
      <c r="AD216" t="str">
        <f t="shared" si="22"/>
        <v>Mobile</v>
      </c>
      <c r="AE216" t="str">
        <f t="shared" si="23"/>
        <v>Valid</v>
      </c>
    </row>
    <row r="217" spans="1:31" x14ac:dyDescent="0.3">
      <c r="A217" s="2" t="s">
        <v>923</v>
      </c>
      <c r="B217" s="2" t="s">
        <v>924</v>
      </c>
      <c r="C217" s="2" t="s">
        <v>925</v>
      </c>
      <c r="D217" s="2" t="s">
        <v>662</v>
      </c>
      <c r="E217" s="2" t="s">
        <v>925</v>
      </c>
      <c r="F217" s="2" t="s">
        <v>925</v>
      </c>
      <c r="G217" s="5" t="str" cm="1">
        <f t="array" ref="G217">IFERROR(INDEX(City_Lookup!$B$2:$B$297,MATCH(TRUE,ISNUMBER(SEARCH(City_Lookup!$A$2:$A$297,$F217&amp;" "&amp;$E217)),0)),"Not Available")</f>
        <v>Siraha</v>
      </c>
      <c r="H217" s="5" t="str">
        <f>IFERROR(INDEX(City_Lookup!$E$2:$E$66,MATCH($G217,City_Lookup!$D$2:$D$66,0)),"Not Available")</f>
        <v>Madhesh</v>
      </c>
      <c r="I217" s="2" t="s">
        <v>28</v>
      </c>
      <c r="J217" s="2" t="s">
        <v>29</v>
      </c>
      <c r="K217" s="2" t="s">
        <v>250</v>
      </c>
      <c r="L217" s="2"/>
      <c r="M217" s="2" t="s">
        <v>250</v>
      </c>
      <c r="N217" s="2" t="s">
        <v>681</v>
      </c>
      <c r="O217" s="2">
        <v>1</v>
      </c>
      <c r="P217" s="2" t="s">
        <v>27</v>
      </c>
      <c r="Q217" s="2" t="s">
        <v>926</v>
      </c>
      <c r="R217" s="2" t="s">
        <v>33</v>
      </c>
      <c r="S217" s="2" t="s">
        <v>27</v>
      </c>
      <c r="T217" s="2" t="s">
        <v>34</v>
      </c>
      <c r="U217" s="2" t="s">
        <v>35</v>
      </c>
      <c r="V217" s="2" t="s">
        <v>36</v>
      </c>
      <c r="W217" s="2" t="s">
        <v>37</v>
      </c>
      <c r="X217" s="4" t="s">
        <v>2487</v>
      </c>
      <c r="Y217" s="4" t="s">
        <v>2500</v>
      </c>
      <c r="Z217" t="str">
        <f t="shared" si="18"/>
        <v>9779801462823</v>
      </c>
      <c r="AA217" t="str">
        <f t="shared" si="19"/>
        <v>9801462823</v>
      </c>
      <c r="AB217" t="str">
        <f t="shared" si="20"/>
        <v>9801462823</v>
      </c>
      <c r="AC217" t="str">
        <f t="shared" si="21"/>
        <v>+9779801462823</v>
      </c>
      <c r="AD217" t="str">
        <f t="shared" si="22"/>
        <v>Mobile</v>
      </c>
      <c r="AE217" t="str">
        <f t="shared" si="23"/>
        <v>Valid</v>
      </c>
    </row>
    <row r="218" spans="1:31" x14ac:dyDescent="0.3">
      <c r="A218" s="2" t="s">
        <v>927</v>
      </c>
      <c r="B218" s="2" t="s">
        <v>928</v>
      </c>
      <c r="C218" s="2" t="s">
        <v>671</v>
      </c>
      <c r="D218" s="2" t="s">
        <v>662</v>
      </c>
      <c r="E218" s="2" t="s">
        <v>671</v>
      </c>
      <c r="F218" s="2" t="s">
        <v>671</v>
      </c>
      <c r="G218" s="5" t="str" cm="1">
        <f t="array" ref="G218">IFERROR(INDEX(City_Lookup!$B$2:$B$297,MATCH(TRUE,ISNUMBER(SEARCH(City_Lookup!$A$2:$A$297,$F218&amp;" "&amp;$E218)),0)),"Not Available")</f>
        <v>Dhankuta</v>
      </c>
      <c r="H218" s="5" t="str">
        <f>IFERROR(INDEX(City_Lookup!$E$2:$E$66,MATCH($G218,City_Lookup!$D$2:$D$66,0)),"Not Available")</f>
        <v>Koshi</v>
      </c>
      <c r="I218" s="2" t="s">
        <v>663</v>
      </c>
      <c r="J218" s="2" t="s">
        <v>29</v>
      </c>
      <c r="K218" s="2" t="s">
        <v>250</v>
      </c>
      <c r="L218" s="2"/>
      <c r="M218" s="2" t="s">
        <v>250</v>
      </c>
      <c r="N218" s="2" t="s">
        <v>664</v>
      </c>
      <c r="O218" s="2">
        <v>1</v>
      </c>
      <c r="P218" s="2" t="s">
        <v>27</v>
      </c>
      <c r="Q218" s="2" t="s">
        <v>929</v>
      </c>
      <c r="R218" s="2" t="s">
        <v>33</v>
      </c>
      <c r="S218" s="2" t="s">
        <v>27</v>
      </c>
      <c r="T218" s="2" t="s">
        <v>34</v>
      </c>
      <c r="U218" s="2" t="s">
        <v>35</v>
      </c>
      <c r="V218" s="2" t="s">
        <v>36</v>
      </c>
      <c r="W218" s="2" t="s">
        <v>37</v>
      </c>
      <c r="X218" s="4" t="s">
        <v>2487</v>
      </c>
      <c r="Y218" s="4" t="s">
        <v>2500</v>
      </c>
      <c r="Z218" t="str">
        <f t="shared" si="18"/>
        <v>9779801462823</v>
      </c>
      <c r="AA218" t="str">
        <f t="shared" si="19"/>
        <v>9801462823</v>
      </c>
      <c r="AB218" t="str">
        <f t="shared" si="20"/>
        <v>9801462823</v>
      </c>
      <c r="AC218" t="str">
        <f t="shared" si="21"/>
        <v>+9779801462823</v>
      </c>
      <c r="AD218" t="str">
        <f t="shared" si="22"/>
        <v>Mobile</v>
      </c>
      <c r="AE218" t="str">
        <f t="shared" si="23"/>
        <v>Valid</v>
      </c>
    </row>
    <row r="219" spans="1:31" x14ac:dyDescent="0.3">
      <c r="A219" s="2" t="s">
        <v>930</v>
      </c>
      <c r="B219" s="2" t="s">
        <v>931</v>
      </c>
      <c r="C219" s="2" t="s">
        <v>932</v>
      </c>
      <c r="D219" s="2" t="s">
        <v>662</v>
      </c>
      <c r="E219" s="2" t="s">
        <v>932</v>
      </c>
      <c r="F219" s="2" t="s">
        <v>932</v>
      </c>
      <c r="G219" s="5" t="str" cm="1">
        <f t="array" ref="G219">IFERROR(INDEX(City_Lookup!$B$2:$B$297,MATCH(TRUE,ISNUMBER(SEARCH(City_Lookup!$A$2:$A$297,$F219&amp;" "&amp;$E219)),0)),"Not Available")</f>
        <v>Tanahun</v>
      </c>
      <c r="H219" s="5" t="str">
        <f>IFERROR(INDEX(City_Lookup!$E$2:$E$66,MATCH($G219,City_Lookup!$D$2:$D$66,0)),"Not Available")</f>
        <v>Gandaki</v>
      </c>
      <c r="I219" s="2" t="s">
        <v>28</v>
      </c>
      <c r="J219" s="2" t="s">
        <v>29</v>
      </c>
      <c r="K219" s="2" t="s">
        <v>250</v>
      </c>
      <c r="L219" s="2"/>
      <c r="M219" s="2" t="s">
        <v>250</v>
      </c>
      <c r="N219" s="2" t="s">
        <v>681</v>
      </c>
      <c r="O219" s="2">
        <v>1</v>
      </c>
      <c r="P219" s="2" t="s">
        <v>934</v>
      </c>
      <c r="Q219" s="2" t="s">
        <v>935</v>
      </c>
      <c r="R219" s="2" t="s">
        <v>33</v>
      </c>
      <c r="S219" s="2" t="s">
        <v>27</v>
      </c>
      <c r="T219" s="2" t="s">
        <v>34</v>
      </c>
      <c r="U219" s="2" t="s">
        <v>35</v>
      </c>
      <c r="V219" s="2" t="s">
        <v>36</v>
      </c>
      <c r="W219" s="2" t="s">
        <v>37</v>
      </c>
      <c r="X219" s="4" t="s">
        <v>934</v>
      </c>
      <c r="Y219" s="4" t="s">
        <v>2501</v>
      </c>
      <c r="Z219" t="str">
        <f t="shared" si="18"/>
        <v>9779816943111</v>
      </c>
      <c r="AA219" t="str">
        <f t="shared" si="19"/>
        <v>9816943111</v>
      </c>
      <c r="AB219" t="str">
        <f t="shared" si="20"/>
        <v>9816943111</v>
      </c>
      <c r="AC219" t="str">
        <f t="shared" si="21"/>
        <v>+9779816943111</v>
      </c>
      <c r="AD219" t="str">
        <f t="shared" si="22"/>
        <v>Mobile</v>
      </c>
      <c r="AE219" t="str">
        <f t="shared" si="23"/>
        <v>Valid</v>
      </c>
    </row>
    <row r="220" spans="1:31" x14ac:dyDescent="0.3">
      <c r="A220" s="2" t="s">
        <v>936</v>
      </c>
      <c r="B220" s="2" t="s">
        <v>937</v>
      </c>
      <c r="C220" s="2" t="s">
        <v>938</v>
      </c>
      <c r="D220" s="2" t="s">
        <v>662</v>
      </c>
      <c r="E220" s="2" t="s">
        <v>938</v>
      </c>
      <c r="F220" s="2" t="s">
        <v>938</v>
      </c>
      <c r="G220" s="5" t="str" cm="1">
        <f t="array" ref="G220">IFERROR(INDEX(City_Lookup!$B$2:$B$297,MATCH(TRUE,ISNUMBER(SEARCH(City_Lookup!$A$2:$A$297,$F220&amp;" "&amp;$E220)),0)),"Not Available")</f>
        <v>Sindhuli</v>
      </c>
      <c r="H220" s="5" t="str">
        <f>IFERROR(INDEX(City_Lookup!$E$2:$E$66,MATCH($G220,City_Lookup!$D$2:$D$66,0)),"Not Available")</f>
        <v>Bagmati</v>
      </c>
      <c r="I220" s="2" t="s">
        <v>28</v>
      </c>
      <c r="J220" s="2" t="s">
        <v>29</v>
      </c>
      <c r="K220" s="2" t="s">
        <v>250</v>
      </c>
      <c r="L220" s="2"/>
      <c r="M220" s="2" t="s">
        <v>250</v>
      </c>
      <c r="N220" s="2" t="s">
        <v>681</v>
      </c>
      <c r="O220" s="2">
        <v>2</v>
      </c>
      <c r="P220" s="2" t="s">
        <v>27</v>
      </c>
      <c r="Q220" s="2" t="s">
        <v>939</v>
      </c>
      <c r="R220" s="2" t="s">
        <v>33</v>
      </c>
      <c r="S220" s="2" t="s">
        <v>27</v>
      </c>
      <c r="T220" s="2" t="s">
        <v>34</v>
      </c>
      <c r="U220" s="2" t="s">
        <v>35</v>
      </c>
      <c r="V220" s="2" t="s">
        <v>36</v>
      </c>
      <c r="W220" s="2" t="s">
        <v>37</v>
      </c>
      <c r="X220" s="4" t="s">
        <v>2487</v>
      </c>
      <c r="Y220" s="4" t="s">
        <v>2500</v>
      </c>
      <c r="Z220" t="str">
        <f t="shared" si="18"/>
        <v>9779801462823</v>
      </c>
      <c r="AA220" t="str">
        <f t="shared" si="19"/>
        <v>9801462823</v>
      </c>
      <c r="AB220" t="str">
        <f t="shared" si="20"/>
        <v>9801462823</v>
      </c>
      <c r="AC220" t="str">
        <f t="shared" si="21"/>
        <v>+9779801462823</v>
      </c>
      <c r="AD220" t="str">
        <f t="shared" si="22"/>
        <v>Mobile</v>
      </c>
      <c r="AE220" t="str">
        <f t="shared" si="23"/>
        <v>Valid</v>
      </c>
    </row>
    <row r="221" spans="1:31" x14ac:dyDescent="0.3">
      <c r="A221" s="2" t="s">
        <v>936</v>
      </c>
      <c r="B221" s="2" t="s">
        <v>940</v>
      </c>
      <c r="C221" s="2" t="s">
        <v>938</v>
      </c>
      <c r="D221" s="2" t="s">
        <v>662</v>
      </c>
      <c r="E221" s="2" t="s">
        <v>938</v>
      </c>
      <c r="F221" s="2" t="s">
        <v>938</v>
      </c>
      <c r="G221" s="5" t="str" cm="1">
        <f t="array" ref="G221">IFERROR(INDEX(City_Lookup!$B$2:$B$297,MATCH(TRUE,ISNUMBER(SEARCH(City_Lookup!$A$2:$A$297,$F221&amp;" "&amp;$E221)),0)),"Not Available")</f>
        <v>Sindhuli</v>
      </c>
      <c r="H221" s="5" t="str">
        <f>IFERROR(INDEX(City_Lookup!$E$2:$E$66,MATCH($G221,City_Lookup!$D$2:$D$66,0)),"Not Available")</f>
        <v>Bagmati</v>
      </c>
      <c r="I221" s="2" t="s">
        <v>663</v>
      </c>
      <c r="J221" s="2" t="s">
        <v>29</v>
      </c>
      <c r="K221" s="2" t="s">
        <v>250</v>
      </c>
      <c r="L221" s="2"/>
      <c r="M221" s="2" t="s">
        <v>250</v>
      </c>
      <c r="N221" s="2" t="s">
        <v>664</v>
      </c>
      <c r="O221" s="2">
        <v>2</v>
      </c>
      <c r="P221" s="2" t="s">
        <v>27</v>
      </c>
      <c r="Q221" s="2" t="s">
        <v>939</v>
      </c>
      <c r="R221" s="2" t="s">
        <v>33</v>
      </c>
      <c r="S221" s="2" t="s">
        <v>27</v>
      </c>
      <c r="T221" s="2" t="s">
        <v>34</v>
      </c>
      <c r="U221" s="2" t="s">
        <v>35</v>
      </c>
      <c r="V221" s="2" t="s">
        <v>36</v>
      </c>
      <c r="W221" s="2" t="s">
        <v>37</v>
      </c>
      <c r="X221" s="4" t="s">
        <v>2487</v>
      </c>
      <c r="Y221" s="4" t="s">
        <v>2500</v>
      </c>
      <c r="Z221" t="str">
        <f t="shared" si="18"/>
        <v>9779801462823</v>
      </c>
      <c r="AA221" t="str">
        <f t="shared" si="19"/>
        <v>9801462823</v>
      </c>
      <c r="AB221" t="str">
        <f t="shared" si="20"/>
        <v>9801462823</v>
      </c>
      <c r="AC221" t="str">
        <f t="shared" si="21"/>
        <v>+9779801462823</v>
      </c>
      <c r="AD221" t="str">
        <f t="shared" si="22"/>
        <v>Mobile</v>
      </c>
      <c r="AE221" t="str">
        <f t="shared" si="23"/>
        <v>Valid</v>
      </c>
    </row>
    <row r="222" spans="1:31" x14ac:dyDescent="0.3">
      <c r="A222" s="2" t="s">
        <v>941</v>
      </c>
      <c r="B222" s="2" t="s">
        <v>942</v>
      </c>
      <c r="C222" s="2" t="s">
        <v>943</v>
      </c>
      <c r="D222" s="2" t="s">
        <v>662</v>
      </c>
      <c r="E222" s="2" t="s">
        <v>943</v>
      </c>
      <c r="F222" s="2" t="s">
        <v>943</v>
      </c>
      <c r="G222" s="5" t="str" cm="1">
        <f t="array" ref="G222">IFERROR(INDEX(City_Lookup!$B$2:$B$297,MATCH(TRUE,ISNUMBER(SEARCH(City_Lookup!$A$2:$A$297,$F222&amp;" "&amp;$E222)),0)),"Not Available")</f>
        <v>Udayapur</v>
      </c>
      <c r="H222" s="5" t="str">
        <f>IFERROR(INDEX(City_Lookup!$E$2:$E$66,MATCH($G222,City_Lookup!$D$2:$D$66,0)),"Not Available")</f>
        <v>Koshi</v>
      </c>
      <c r="I222" s="2" t="s">
        <v>663</v>
      </c>
      <c r="J222" s="2" t="s">
        <v>29</v>
      </c>
      <c r="K222" s="2" t="s">
        <v>250</v>
      </c>
      <c r="L222" s="2"/>
      <c r="M222" s="2" t="s">
        <v>250</v>
      </c>
      <c r="N222" s="2" t="s">
        <v>664</v>
      </c>
      <c r="O222" s="2">
        <v>1</v>
      </c>
      <c r="P222" s="2" t="s">
        <v>27</v>
      </c>
      <c r="Q222" s="2" t="s">
        <v>944</v>
      </c>
      <c r="R222" s="2" t="s">
        <v>33</v>
      </c>
      <c r="S222" s="2" t="s">
        <v>27</v>
      </c>
      <c r="T222" s="2" t="s">
        <v>34</v>
      </c>
      <c r="U222" s="2" t="s">
        <v>35</v>
      </c>
      <c r="V222" s="2" t="s">
        <v>36</v>
      </c>
      <c r="W222" s="2" t="s">
        <v>37</v>
      </c>
      <c r="X222" s="4" t="s">
        <v>1295</v>
      </c>
      <c r="Y222" s="4" t="s">
        <v>2502</v>
      </c>
      <c r="Z222" t="str">
        <f t="shared" si="18"/>
        <v>9779861208465</v>
      </c>
      <c r="AA222" t="str">
        <f t="shared" si="19"/>
        <v>9861208465</v>
      </c>
      <c r="AB222" t="str">
        <f t="shared" si="20"/>
        <v>9861208465</v>
      </c>
      <c r="AC222" t="str">
        <f t="shared" si="21"/>
        <v>+9779861208465</v>
      </c>
      <c r="AD222" t="str">
        <f t="shared" si="22"/>
        <v>Mobile</v>
      </c>
      <c r="AE222" t="str">
        <f t="shared" si="23"/>
        <v>Valid</v>
      </c>
    </row>
    <row r="223" spans="1:31" x14ac:dyDescent="0.3">
      <c r="A223" s="2" t="s">
        <v>945</v>
      </c>
      <c r="B223" s="2" t="s">
        <v>946</v>
      </c>
      <c r="C223" s="2" t="s">
        <v>947</v>
      </c>
      <c r="D223" s="2" t="s">
        <v>662</v>
      </c>
      <c r="E223" s="2" t="s">
        <v>947</v>
      </c>
      <c r="F223" s="2" t="s">
        <v>947</v>
      </c>
      <c r="G223" s="5" t="str" cm="1">
        <f t="array" ref="G223">IFERROR(INDEX(City_Lookup!$B$2:$B$297,MATCH(TRUE,ISNUMBER(SEARCH(City_Lookup!$A$2:$A$297,$F223&amp;" "&amp;$E223)),0)),"Not Available")</f>
        <v>Sindhuli</v>
      </c>
      <c r="H223" s="5" t="str">
        <f>IFERROR(INDEX(City_Lookup!$E$2:$E$66,MATCH($G223,City_Lookup!$D$2:$D$66,0)),"Not Available")</f>
        <v>Bagmati</v>
      </c>
      <c r="I223" s="2" t="s">
        <v>28</v>
      </c>
      <c r="J223" s="2" t="s">
        <v>29</v>
      </c>
      <c r="K223" s="2" t="s">
        <v>250</v>
      </c>
      <c r="L223" s="2"/>
      <c r="M223" s="2" t="s">
        <v>250</v>
      </c>
      <c r="N223" s="2" t="s">
        <v>681</v>
      </c>
      <c r="O223" s="2">
        <v>1</v>
      </c>
      <c r="P223" s="2" t="s">
        <v>949</v>
      </c>
      <c r="Q223" s="2" t="s">
        <v>950</v>
      </c>
      <c r="R223" s="2" t="s">
        <v>33</v>
      </c>
      <c r="S223" s="2" t="s">
        <v>27</v>
      </c>
      <c r="T223" s="2" t="s">
        <v>34</v>
      </c>
      <c r="U223" s="2" t="s">
        <v>35</v>
      </c>
      <c r="V223" s="2" t="s">
        <v>36</v>
      </c>
      <c r="W223" s="2" t="s">
        <v>37</v>
      </c>
      <c r="X223" s="4" t="s">
        <v>949</v>
      </c>
      <c r="Y223" s="4" t="s">
        <v>2501</v>
      </c>
      <c r="Z223" t="str">
        <f t="shared" si="18"/>
        <v>9779851245112</v>
      </c>
      <c r="AA223" t="str">
        <f t="shared" si="19"/>
        <v>9851245112</v>
      </c>
      <c r="AB223" t="str">
        <f t="shared" si="20"/>
        <v>9851245112</v>
      </c>
      <c r="AC223" t="str">
        <f t="shared" si="21"/>
        <v>+9779851245112</v>
      </c>
      <c r="AD223" t="str">
        <f t="shared" si="22"/>
        <v>Mobile</v>
      </c>
      <c r="AE223" t="str">
        <f t="shared" si="23"/>
        <v>Valid</v>
      </c>
    </row>
    <row r="224" spans="1:31" x14ac:dyDescent="0.3">
      <c r="A224" s="2" t="s">
        <v>951</v>
      </c>
      <c r="B224" s="2" t="s">
        <v>952</v>
      </c>
      <c r="C224" s="2" t="s">
        <v>953</v>
      </c>
      <c r="D224" s="2" t="s">
        <v>662</v>
      </c>
      <c r="E224" s="2" t="s">
        <v>953</v>
      </c>
      <c r="F224" s="2" t="s">
        <v>953</v>
      </c>
      <c r="G224" s="5" t="str" cm="1">
        <f t="array" ref="G224">IFERROR(INDEX(City_Lookup!$B$2:$B$297,MATCH(TRUE,ISNUMBER(SEARCH(City_Lookup!$A$2:$A$297,$F224&amp;" "&amp;$E224)),0)),"Not Available")</f>
        <v>Sankhuwasabha</v>
      </c>
      <c r="H224" s="5" t="str">
        <f>IFERROR(INDEX(City_Lookup!$E$2:$E$66,MATCH($G224,City_Lookup!$D$2:$D$66,0)),"Not Available")</f>
        <v>Koshi</v>
      </c>
      <c r="I224" s="2" t="s">
        <v>663</v>
      </c>
      <c r="J224" s="2" t="s">
        <v>29</v>
      </c>
      <c r="K224" s="2" t="s">
        <v>250</v>
      </c>
      <c r="L224" s="2"/>
      <c r="M224" s="2" t="s">
        <v>250</v>
      </c>
      <c r="N224" s="2" t="s">
        <v>664</v>
      </c>
      <c r="O224" s="2">
        <v>1</v>
      </c>
      <c r="P224" s="2" t="s">
        <v>27</v>
      </c>
      <c r="Q224" s="2" t="s">
        <v>954</v>
      </c>
      <c r="R224" s="2" t="s">
        <v>33</v>
      </c>
      <c r="S224" s="2" t="s">
        <v>27</v>
      </c>
      <c r="T224" s="2" t="s">
        <v>34</v>
      </c>
      <c r="U224" s="2" t="s">
        <v>35</v>
      </c>
      <c r="V224" s="2" t="s">
        <v>36</v>
      </c>
      <c r="W224" s="2" t="s">
        <v>37</v>
      </c>
      <c r="X224" s="4" t="s">
        <v>2487</v>
      </c>
      <c r="Y224" s="4" t="s">
        <v>2500</v>
      </c>
      <c r="Z224" t="str">
        <f t="shared" si="18"/>
        <v>9779801462823</v>
      </c>
      <c r="AA224" t="str">
        <f t="shared" si="19"/>
        <v>9801462823</v>
      </c>
      <c r="AB224" t="str">
        <f t="shared" si="20"/>
        <v>9801462823</v>
      </c>
      <c r="AC224" t="str">
        <f t="shared" si="21"/>
        <v>+9779801462823</v>
      </c>
      <c r="AD224" t="str">
        <f t="shared" si="22"/>
        <v>Mobile</v>
      </c>
      <c r="AE224" t="str">
        <f t="shared" si="23"/>
        <v>Valid</v>
      </c>
    </row>
    <row r="225" spans="1:31" x14ac:dyDescent="0.3">
      <c r="A225" s="2" t="s">
        <v>955</v>
      </c>
      <c r="B225" s="2" t="s">
        <v>956</v>
      </c>
      <c r="C225" s="2" t="s">
        <v>957</v>
      </c>
      <c r="D225" s="2" t="s">
        <v>662</v>
      </c>
      <c r="E225" s="2" t="s">
        <v>957</v>
      </c>
      <c r="F225" s="2" t="s">
        <v>957</v>
      </c>
      <c r="G225" s="5" t="str" cm="1">
        <f t="array" ref="G225">IFERROR(INDEX(City_Lookup!$B$2:$B$297,MATCH(TRUE,ISNUMBER(SEARCH(City_Lookup!$A$2:$A$297,$F225&amp;" "&amp;$E225)),0)),"Not Available")</f>
        <v>Dolakha</v>
      </c>
      <c r="H225" s="5" t="str">
        <f>IFERROR(INDEX(City_Lookup!$E$2:$E$66,MATCH($G225,City_Lookup!$D$2:$D$66,0)),"Not Available")</f>
        <v>Bagmati</v>
      </c>
      <c r="I225" s="2" t="s">
        <v>663</v>
      </c>
      <c r="J225" s="2" t="s">
        <v>29</v>
      </c>
      <c r="K225" s="2" t="s">
        <v>250</v>
      </c>
      <c r="L225" s="2"/>
      <c r="M225" s="2" t="s">
        <v>250</v>
      </c>
      <c r="N225" s="2" t="s">
        <v>664</v>
      </c>
      <c r="O225" s="2">
        <v>2</v>
      </c>
      <c r="P225" s="2" t="s">
        <v>27</v>
      </c>
      <c r="Q225" s="2" t="s">
        <v>959</v>
      </c>
      <c r="R225" s="2" t="s">
        <v>33</v>
      </c>
      <c r="S225" s="2" t="s">
        <v>27</v>
      </c>
      <c r="T225" s="2" t="s">
        <v>34</v>
      </c>
      <c r="U225" s="2" t="s">
        <v>35</v>
      </c>
      <c r="V225" s="2" t="s">
        <v>36</v>
      </c>
      <c r="W225" s="2" t="s">
        <v>37</v>
      </c>
      <c r="X225" s="4" t="s">
        <v>2487</v>
      </c>
      <c r="Y225" s="4" t="s">
        <v>2500</v>
      </c>
      <c r="Z225" t="str">
        <f t="shared" si="18"/>
        <v>9779801462823</v>
      </c>
      <c r="AA225" t="str">
        <f t="shared" si="19"/>
        <v>9801462823</v>
      </c>
      <c r="AB225" t="str">
        <f t="shared" si="20"/>
        <v>9801462823</v>
      </c>
      <c r="AC225" t="str">
        <f t="shared" si="21"/>
        <v>+9779801462823</v>
      </c>
      <c r="AD225" t="str">
        <f t="shared" si="22"/>
        <v>Mobile</v>
      </c>
      <c r="AE225" t="str">
        <f t="shared" si="23"/>
        <v>Valid</v>
      </c>
    </row>
    <row r="226" spans="1:31" x14ac:dyDescent="0.3">
      <c r="A226" s="2" t="s">
        <v>955</v>
      </c>
      <c r="B226" s="2" t="s">
        <v>960</v>
      </c>
      <c r="C226" s="2" t="s">
        <v>957</v>
      </c>
      <c r="D226" s="2" t="s">
        <v>662</v>
      </c>
      <c r="E226" s="2" t="s">
        <v>957</v>
      </c>
      <c r="F226" s="2" t="s">
        <v>957</v>
      </c>
      <c r="G226" s="5" t="str" cm="1">
        <f t="array" ref="G226">IFERROR(INDEX(City_Lookup!$B$2:$B$297,MATCH(TRUE,ISNUMBER(SEARCH(City_Lookup!$A$2:$A$297,$F226&amp;" "&amp;$E226)),0)),"Not Available")</f>
        <v>Dolakha</v>
      </c>
      <c r="H226" s="5" t="str">
        <f>IFERROR(INDEX(City_Lookup!$E$2:$E$66,MATCH($G226,City_Lookup!$D$2:$D$66,0)),"Not Available")</f>
        <v>Bagmati</v>
      </c>
      <c r="I226" s="2" t="s">
        <v>28</v>
      </c>
      <c r="J226" s="2" t="s">
        <v>29</v>
      </c>
      <c r="K226" s="2" t="s">
        <v>250</v>
      </c>
      <c r="L226" s="2"/>
      <c r="M226" s="2" t="s">
        <v>250</v>
      </c>
      <c r="N226" s="2" t="s">
        <v>681</v>
      </c>
      <c r="O226" s="2">
        <v>2</v>
      </c>
      <c r="P226" s="2" t="s">
        <v>27</v>
      </c>
      <c r="Q226" s="2" t="s">
        <v>959</v>
      </c>
      <c r="R226" s="2" t="s">
        <v>33</v>
      </c>
      <c r="S226" s="2" t="s">
        <v>27</v>
      </c>
      <c r="T226" s="2" t="s">
        <v>34</v>
      </c>
      <c r="U226" s="2" t="s">
        <v>35</v>
      </c>
      <c r="V226" s="2" t="s">
        <v>36</v>
      </c>
      <c r="W226" s="2" t="s">
        <v>37</v>
      </c>
      <c r="X226" s="4" t="s">
        <v>2487</v>
      </c>
      <c r="Y226" s="4" t="s">
        <v>2500</v>
      </c>
      <c r="Z226" t="str">
        <f t="shared" si="18"/>
        <v>9779801462823</v>
      </c>
      <c r="AA226" t="str">
        <f t="shared" si="19"/>
        <v>9801462823</v>
      </c>
      <c r="AB226" t="str">
        <f t="shared" si="20"/>
        <v>9801462823</v>
      </c>
      <c r="AC226" t="str">
        <f t="shared" si="21"/>
        <v>+9779801462823</v>
      </c>
      <c r="AD226" t="str">
        <f t="shared" si="22"/>
        <v>Mobile</v>
      </c>
      <c r="AE226" t="str">
        <f t="shared" si="23"/>
        <v>Valid</v>
      </c>
    </row>
    <row r="227" spans="1:31" x14ac:dyDescent="0.3">
      <c r="A227" s="2" t="s">
        <v>961</v>
      </c>
      <c r="B227" s="2" t="s">
        <v>962</v>
      </c>
      <c r="C227" s="2" t="s">
        <v>963</v>
      </c>
      <c r="D227" s="2" t="s">
        <v>662</v>
      </c>
      <c r="E227" s="2" t="s">
        <v>963</v>
      </c>
      <c r="F227" s="2" t="s">
        <v>963</v>
      </c>
      <c r="G227" s="5" t="str" cm="1">
        <f t="array" ref="G227">IFERROR(INDEX(City_Lookup!$B$2:$B$297,MATCH(TRUE,ISNUMBER(SEARCH(City_Lookup!$A$2:$A$297,$F227&amp;" "&amp;$E227)),0)),"Not Available")</f>
        <v>Sindhuli</v>
      </c>
      <c r="H227" s="5" t="str">
        <f>IFERROR(INDEX(City_Lookup!$E$2:$E$66,MATCH($G227,City_Lookup!$D$2:$D$66,0)),"Not Available")</f>
        <v>Bagmati</v>
      </c>
      <c r="I227" s="2" t="s">
        <v>663</v>
      </c>
      <c r="J227" s="2" t="s">
        <v>29</v>
      </c>
      <c r="K227" s="2" t="s">
        <v>250</v>
      </c>
      <c r="L227" s="2"/>
      <c r="M227" s="2" t="s">
        <v>250</v>
      </c>
      <c r="N227" s="2" t="s">
        <v>664</v>
      </c>
      <c r="O227" s="2">
        <v>2</v>
      </c>
      <c r="P227" s="2" t="s">
        <v>965</v>
      </c>
      <c r="Q227" s="2" t="s">
        <v>966</v>
      </c>
      <c r="R227" s="2" t="s">
        <v>33</v>
      </c>
      <c r="S227" s="2" t="s">
        <v>27</v>
      </c>
      <c r="T227" s="2" t="s">
        <v>34</v>
      </c>
      <c r="U227" s="2" t="s">
        <v>35</v>
      </c>
      <c r="V227" s="2" t="s">
        <v>36</v>
      </c>
      <c r="W227" s="2" t="s">
        <v>37</v>
      </c>
      <c r="X227" s="4" t="s">
        <v>965</v>
      </c>
      <c r="Y227" s="4" t="s">
        <v>2501</v>
      </c>
      <c r="Z227" t="str">
        <f t="shared" si="18"/>
        <v>9779844009006</v>
      </c>
      <c r="AA227" t="str">
        <f t="shared" si="19"/>
        <v>9844009006</v>
      </c>
      <c r="AB227" t="str">
        <f t="shared" si="20"/>
        <v>9844009006</v>
      </c>
      <c r="AC227" t="str">
        <f t="shared" si="21"/>
        <v>+9779844009006</v>
      </c>
      <c r="AD227" t="str">
        <f t="shared" si="22"/>
        <v>Mobile</v>
      </c>
      <c r="AE227" t="str">
        <f t="shared" si="23"/>
        <v>Valid</v>
      </c>
    </row>
    <row r="228" spans="1:31" x14ac:dyDescent="0.3">
      <c r="A228" s="2" t="s">
        <v>961</v>
      </c>
      <c r="B228" s="2" t="s">
        <v>967</v>
      </c>
      <c r="C228" s="2" t="s">
        <v>963</v>
      </c>
      <c r="D228" s="2" t="s">
        <v>662</v>
      </c>
      <c r="E228" s="2" t="s">
        <v>963</v>
      </c>
      <c r="F228" s="2" t="s">
        <v>963</v>
      </c>
      <c r="G228" s="5" t="str" cm="1">
        <f t="array" ref="G228">IFERROR(INDEX(City_Lookup!$B$2:$B$297,MATCH(TRUE,ISNUMBER(SEARCH(City_Lookup!$A$2:$A$297,$F228&amp;" "&amp;$E228)),0)),"Not Available")</f>
        <v>Sindhuli</v>
      </c>
      <c r="H228" s="5" t="str">
        <f>IFERROR(INDEX(City_Lookup!$E$2:$E$66,MATCH($G228,City_Lookup!$D$2:$D$66,0)),"Not Available")</f>
        <v>Bagmati</v>
      </c>
      <c r="I228" s="2" t="s">
        <v>28</v>
      </c>
      <c r="J228" s="2" t="s">
        <v>29</v>
      </c>
      <c r="K228" s="2" t="s">
        <v>250</v>
      </c>
      <c r="L228" s="2"/>
      <c r="M228" s="2" t="s">
        <v>250</v>
      </c>
      <c r="N228" s="2" t="s">
        <v>681</v>
      </c>
      <c r="O228" s="2">
        <v>2</v>
      </c>
      <c r="P228" s="2" t="s">
        <v>965</v>
      </c>
      <c r="Q228" s="2" t="s">
        <v>966</v>
      </c>
      <c r="R228" s="2" t="s">
        <v>33</v>
      </c>
      <c r="S228" s="2" t="s">
        <v>27</v>
      </c>
      <c r="T228" s="2" t="s">
        <v>34</v>
      </c>
      <c r="U228" s="2" t="s">
        <v>35</v>
      </c>
      <c r="V228" s="2" t="s">
        <v>36</v>
      </c>
      <c r="W228" s="2" t="s">
        <v>37</v>
      </c>
      <c r="X228" s="4" t="s">
        <v>965</v>
      </c>
      <c r="Y228" s="4" t="s">
        <v>2501</v>
      </c>
      <c r="Z228" t="str">
        <f t="shared" si="18"/>
        <v>9779844009006</v>
      </c>
      <c r="AA228" t="str">
        <f t="shared" si="19"/>
        <v>9844009006</v>
      </c>
      <c r="AB228" t="str">
        <f t="shared" si="20"/>
        <v>9844009006</v>
      </c>
      <c r="AC228" t="str">
        <f t="shared" si="21"/>
        <v>+9779844009006</v>
      </c>
      <c r="AD228" t="str">
        <f t="shared" si="22"/>
        <v>Mobile</v>
      </c>
      <c r="AE228" t="str">
        <f t="shared" si="23"/>
        <v>Valid</v>
      </c>
    </row>
    <row r="229" spans="1:31" x14ac:dyDescent="0.3">
      <c r="A229" s="2" t="s">
        <v>968</v>
      </c>
      <c r="B229" s="2" t="s">
        <v>969</v>
      </c>
      <c r="C229" s="2" t="s">
        <v>970</v>
      </c>
      <c r="D229" s="2" t="s">
        <v>662</v>
      </c>
      <c r="E229" s="2" t="s">
        <v>970</v>
      </c>
      <c r="F229" s="2" t="s">
        <v>970</v>
      </c>
      <c r="G229" s="5" t="str" cm="1">
        <f t="array" ref="G229">IFERROR(INDEX(City_Lookup!$B$2:$B$297,MATCH(TRUE,ISNUMBER(SEARCH(City_Lookup!$A$2:$A$297,$F229&amp;" "&amp;$E229)),0)),"Not Available")</f>
        <v>Sindhuli</v>
      </c>
      <c r="H229" s="5" t="str">
        <f>IFERROR(INDEX(City_Lookup!$E$2:$E$66,MATCH($G229,City_Lookup!$D$2:$D$66,0)),"Not Available")</f>
        <v>Bagmati</v>
      </c>
      <c r="I229" s="2" t="s">
        <v>663</v>
      </c>
      <c r="J229" s="2" t="s">
        <v>29</v>
      </c>
      <c r="K229" s="2" t="s">
        <v>250</v>
      </c>
      <c r="L229" s="2"/>
      <c r="M229" s="2" t="s">
        <v>250</v>
      </c>
      <c r="N229" s="2" t="s">
        <v>664</v>
      </c>
      <c r="O229" s="2">
        <v>1</v>
      </c>
      <c r="P229" s="2" t="s">
        <v>971</v>
      </c>
      <c r="Q229" s="2" t="s">
        <v>972</v>
      </c>
      <c r="R229" s="2" t="s">
        <v>33</v>
      </c>
      <c r="S229" s="2" t="s">
        <v>27</v>
      </c>
      <c r="T229" s="2" t="s">
        <v>34</v>
      </c>
      <c r="U229" s="2" t="s">
        <v>35</v>
      </c>
      <c r="V229" s="2" t="s">
        <v>36</v>
      </c>
      <c r="W229" s="2" t="s">
        <v>37</v>
      </c>
      <c r="X229" s="4" t="s">
        <v>971</v>
      </c>
      <c r="Y229" s="4" t="s">
        <v>2501</v>
      </c>
      <c r="Z229" t="str">
        <f t="shared" si="18"/>
        <v>9779851129081</v>
      </c>
      <c r="AA229" t="str">
        <f t="shared" si="19"/>
        <v>9851129081</v>
      </c>
      <c r="AB229" t="str">
        <f t="shared" si="20"/>
        <v>9851129081</v>
      </c>
      <c r="AC229" t="str">
        <f t="shared" si="21"/>
        <v>+9779851129081</v>
      </c>
      <c r="AD229" t="str">
        <f t="shared" si="22"/>
        <v>Mobile</v>
      </c>
      <c r="AE229" t="str">
        <f t="shared" si="23"/>
        <v>Valid</v>
      </c>
    </row>
    <row r="230" spans="1:31" x14ac:dyDescent="0.3">
      <c r="A230" s="2" t="s">
        <v>973</v>
      </c>
      <c r="B230" s="2" t="s">
        <v>974</v>
      </c>
      <c r="C230" s="2" t="s">
        <v>975</v>
      </c>
      <c r="D230" s="2" t="s">
        <v>662</v>
      </c>
      <c r="E230" s="2" t="s">
        <v>975</v>
      </c>
      <c r="F230" s="2" t="s">
        <v>975</v>
      </c>
      <c r="G230" s="5" t="str" cm="1">
        <f t="array" ref="G230">IFERROR(INDEX(City_Lookup!$B$2:$B$297,MATCH(TRUE,ISNUMBER(SEARCH(City_Lookup!$A$2:$A$297,$F230&amp;" "&amp;$E230)),0)),"Not Available")</f>
        <v>Sindhuli</v>
      </c>
      <c r="H230" s="5" t="str">
        <f>IFERROR(INDEX(City_Lookup!$E$2:$E$66,MATCH($G230,City_Lookup!$D$2:$D$66,0)),"Not Available")</f>
        <v>Bagmati</v>
      </c>
      <c r="I230" s="2" t="s">
        <v>663</v>
      </c>
      <c r="J230" s="2" t="s">
        <v>29</v>
      </c>
      <c r="K230" s="2" t="s">
        <v>250</v>
      </c>
      <c r="L230" s="2"/>
      <c r="M230" s="2" t="s">
        <v>250</v>
      </c>
      <c r="N230" s="2" t="s">
        <v>664</v>
      </c>
      <c r="O230" s="2">
        <v>1</v>
      </c>
      <c r="P230" s="2" t="s">
        <v>27</v>
      </c>
      <c r="Q230" s="2" t="s">
        <v>977</v>
      </c>
      <c r="R230" s="2" t="s">
        <v>33</v>
      </c>
      <c r="S230" s="2" t="s">
        <v>27</v>
      </c>
      <c r="T230" s="2" t="s">
        <v>34</v>
      </c>
      <c r="U230" s="2" t="s">
        <v>35</v>
      </c>
      <c r="V230" s="2" t="s">
        <v>36</v>
      </c>
      <c r="W230" s="2" t="s">
        <v>37</v>
      </c>
      <c r="X230" s="4" t="s">
        <v>2487</v>
      </c>
      <c r="Y230" s="4" t="s">
        <v>2500</v>
      </c>
      <c r="Z230" t="str">
        <f t="shared" si="18"/>
        <v>9779801462823</v>
      </c>
      <c r="AA230" t="str">
        <f t="shared" si="19"/>
        <v>9801462823</v>
      </c>
      <c r="AB230" t="str">
        <f t="shared" si="20"/>
        <v>9801462823</v>
      </c>
      <c r="AC230" t="str">
        <f t="shared" si="21"/>
        <v>+9779801462823</v>
      </c>
      <c r="AD230" t="str">
        <f t="shared" si="22"/>
        <v>Mobile</v>
      </c>
      <c r="AE230" t="str">
        <f t="shared" si="23"/>
        <v>Valid</v>
      </c>
    </row>
    <row r="231" spans="1:31" x14ac:dyDescent="0.3">
      <c r="A231" s="2" t="s">
        <v>978</v>
      </c>
      <c r="B231" s="2" t="s">
        <v>979</v>
      </c>
      <c r="C231" s="2" t="s">
        <v>980</v>
      </c>
      <c r="D231" s="2" t="s">
        <v>662</v>
      </c>
      <c r="E231" s="2" t="s">
        <v>980</v>
      </c>
      <c r="F231" s="2" t="s">
        <v>980</v>
      </c>
      <c r="G231" s="5" t="str" cm="1">
        <f t="array" ref="G231">IFERROR(INDEX(City_Lookup!$B$2:$B$297,MATCH(TRUE,ISNUMBER(SEARCH(City_Lookup!$A$2:$A$297,$F231&amp;" "&amp;$E231)),0)),"Not Available")</f>
        <v>Nawalpur</v>
      </c>
      <c r="H231" s="5" t="str">
        <f>IFERROR(INDEX(City_Lookup!$E$2:$E$66,MATCH($G231,City_Lookup!$D$2:$D$66,0)),"Not Available")</f>
        <v>Gandaki</v>
      </c>
      <c r="I231" s="2" t="s">
        <v>663</v>
      </c>
      <c r="J231" s="2" t="s">
        <v>29</v>
      </c>
      <c r="K231" s="2" t="s">
        <v>250</v>
      </c>
      <c r="L231" s="2"/>
      <c r="M231" s="2" t="s">
        <v>250</v>
      </c>
      <c r="N231" s="2" t="s">
        <v>664</v>
      </c>
      <c r="O231" s="2">
        <v>1</v>
      </c>
      <c r="P231" s="2" t="s">
        <v>27</v>
      </c>
      <c r="Q231" s="2" t="s">
        <v>981</v>
      </c>
      <c r="R231" s="2" t="s">
        <v>33</v>
      </c>
      <c r="S231" s="2" t="s">
        <v>27</v>
      </c>
      <c r="T231" s="2" t="s">
        <v>34</v>
      </c>
      <c r="U231" s="2" t="s">
        <v>35</v>
      </c>
      <c r="V231" s="2" t="s">
        <v>36</v>
      </c>
      <c r="W231" s="2" t="s">
        <v>37</v>
      </c>
      <c r="X231" s="4" t="s">
        <v>2487</v>
      </c>
      <c r="Y231" s="4" t="s">
        <v>2500</v>
      </c>
      <c r="Z231" t="str">
        <f t="shared" si="18"/>
        <v>9779801462823</v>
      </c>
      <c r="AA231" t="str">
        <f t="shared" si="19"/>
        <v>9801462823</v>
      </c>
      <c r="AB231" t="str">
        <f t="shared" si="20"/>
        <v>9801462823</v>
      </c>
      <c r="AC231" t="str">
        <f t="shared" si="21"/>
        <v>+9779801462823</v>
      </c>
      <c r="AD231" t="str">
        <f t="shared" si="22"/>
        <v>Mobile</v>
      </c>
      <c r="AE231" t="str">
        <f t="shared" si="23"/>
        <v>Valid</v>
      </c>
    </row>
    <row r="232" spans="1:31" x14ac:dyDescent="0.3">
      <c r="A232" s="2" t="s">
        <v>982</v>
      </c>
      <c r="B232" s="2" t="s">
        <v>983</v>
      </c>
      <c r="C232" s="2" t="s">
        <v>984</v>
      </c>
      <c r="D232" s="2" t="s">
        <v>662</v>
      </c>
      <c r="E232" s="2" t="s">
        <v>984</v>
      </c>
      <c r="F232" s="2" t="s">
        <v>984</v>
      </c>
      <c r="G232" s="5" t="str" cm="1">
        <f t="array" ref="G232">IFERROR(INDEX(City_Lookup!$B$2:$B$297,MATCH(TRUE,ISNUMBER(SEARCH(City_Lookup!$A$2:$A$297,$F232&amp;" "&amp;$E232)),0)),"Not Available")</f>
        <v>Tanahun</v>
      </c>
      <c r="H232" s="5" t="str">
        <f>IFERROR(INDEX(City_Lookup!$E$2:$E$66,MATCH($G232,City_Lookup!$D$2:$D$66,0)),"Not Available")</f>
        <v>Gandaki</v>
      </c>
      <c r="I232" s="2" t="s">
        <v>663</v>
      </c>
      <c r="J232" s="2" t="s">
        <v>29</v>
      </c>
      <c r="K232" s="2" t="s">
        <v>250</v>
      </c>
      <c r="L232" s="2"/>
      <c r="M232" s="2" t="s">
        <v>250</v>
      </c>
      <c r="N232" s="2" t="s">
        <v>664</v>
      </c>
      <c r="O232" s="2">
        <v>1</v>
      </c>
      <c r="P232" s="2" t="s">
        <v>27</v>
      </c>
      <c r="Q232" s="2" t="s">
        <v>986</v>
      </c>
      <c r="R232" s="2" t="s">
        <v>33</v>
      </c>
      <c r="S232" s="2" t="s">
        <v>27</v>
      </c>
      <c r="T232" s="2" t="s">
        <v>34</v>
      </c>
      <c r="U232" s="2" t="s">
        <v>35</v>
      </c>
      <c r="V232" s="2" t="s">
        <v>36</v>
      </c>
      <c r="W232" s="2" t="s">
        <v>37</v>
      </c>
      <c r="X232" s="4" t="s">
        <v>2487</v>
      </c>
      <c r="Y232" s="4" t="s">
        <v>2500</v>
      </c>
      <c r="Z232" t="str">
        <f t="shared" si="18"/>
        <v>9779801462823</v>
      </c>
      <c r="AA232" t="str">
        <f t="shared" si="19"/>
        <v>9801462823</v>
      </c>
      <c r="AB232" t="str">
        <f t="shared" si="20"/>
        <v>9801462823</v>
      </c>
      <c r="AC232" t="str">
        <f t="shared" si="21"/>
        <v>+9779801462823</v>
      </c>
      <c r="AD232" t="str">
        <f t="shared" si="22"/>
        <v>Mobile</v>
      </c>
      <c r="AE232" t="str">
        <f t="shared" si="23"/>
        <v>Valid</v>
      </c>
    </row>
    <row r="233" spans="1:31" x14ac:dyDescent="0.3">
      <c r="A233" s="2" t="s">
        <v>987</v>
      </c>
      <c r="B233" s="2" t="s">
        <v>988</v>
      </c>
      <c r="C233" s="2" t="s">
        <v>989</v>
      </c>
      <c r="D233" s="2" t="s">
        <v>662</v>
      </c>
      <c r="E233" s="2" t="s">
        <v>989</v>
      </c>
      <c r="F233" s="2" t="s">
        <v>989</v>
      </c>
      <c r="G233" s="5" t="str" cm="1">
        <f t="array" ref="G233">IFERROR(INDEX(City_Lookup!$B$2:$B$297,MATCH(TRUE,ISNUMBER(SEARCH(City_Lookup!$A$2:$A$297,$F233&amp;" "&amp;$E233)),0)),"Not Available")</f>
        <v>Nawalpur</v>
      </c>
      <c r="H233" s="5" t="str">
        <f>IFERROR(INDEX(City_Lookup!$E$2:$E$66,MATCH($G233,City_Lookup!$D$2:$D$66,0)),"Not Available")</f>
        <v>Gandaki</v>
      </c>
      <c r="I233" s="2" t="s">
        <v>28</v>
      </c>
      <c r="J233" s="2" t="s">
        <v>29</v>
      </c>
      <c r="K233" s="2" t="s">
        <v>250</v>
      </c>
      <c r="L233" s="2"/>
      <c r="M233" s="2" t="s">
        <v>250</v>
      </c>
      <c r="N233" s="2" t="s">
        <v>681</v>
      </c>
      <c r="O233" s="2">
        <v>2</v>
      </c>
      <c r="P233" s="2" t="s">
        <v>27</v>
      </c>
      <c r="Q233" s="2" t="s">
        <v>991</v>
      </c>
      <c r="R233" s="2" t="s">
        <v>33</v>
      </c>
      <c r="S233" s="2" t="s">
        <v>27</v>
      </c>
      <c r="T233" s="2" t="s">
        <v>34</v>
      </c>
      <c r="U233" s="2" t="s">
        <v>35</v>
      </c>
      <c r="V233" s="2" t="s">
        <v>36</v>
      </c>
      <c r="W233" s="2" t="s">
        <v>37</v>
      </c>
      <c r="X233" s="4" t="s">
        <v>2487</v>
      </c>
      <c r="Y233" s="4" t="s">
        <v>2500</v>
      </c>
      <c r="Z233" t="str">
        <f t="shared" si="18"/>
        <v>9779801462823</v>
      </c>
      <c r="AA233" t="str">
        <f t="shared" si="19"/>
        <v>9801462823</v>
      </c>
      <c r="AB233" t="str">
        <f t="shared" si="20"/>
        <v>9801462823</v>
      </c>
      <c r="AC233" t="str">
        <f t="shared" si="21"/>
        <v>+9779801462823</v>
      </c>
      <c r="AD233" t="str">
        <f t="shared" si="22"/>
        <v>Mobile</v>
      </c>
      <c r="AE233" t="str">
        <f t="shared" si="23"/>
        <v>Valid</v>
      </c>
    </row>
    <row r="234" spans="1:31" x14ac:dyDescent="0.3">
      <c r="A234" s="2" t="s">
        <v>987</v>
      </c>
      <c r="B234" s="2" t="s">
        <v>992</v>
      </c>
      <c r="C234" s="2" t="s">
        <v>989</v>
      </c>
      <c r="D234" s="2" t="s">
        <v>662</v>
      </c>
      <c r="E234" s="2" t="s">
        <v>989</v>
      </c>
      <c r="F234" s="2" t="s">
        <v>989</v>
      </c>
      <c r="G234" s="5" t="str" cm="1">
        <f t="array" ref="G234">IFERROR(INDEX(City_Lookup!$B$2:$B$297,MATCH(TRUE,ISNUMBER(SEARCH(City_Lookup!$A$2:$A$297,$F234&amp;" "&amp;$E234)),0)),"Not Available")</f>
        <v>Nawalpur</v>
      </c>
      <c r="H234" s="5" t="str">
        <f>IFERROR(INDEX(City_Lookup!$E$2:$E$66,MATCH($G234,City_Lookup!$D$2:$D$66,0)),"Not Available")</f>
        <v>Gandaki</v>
      </c>
      <c r="I234" s="2" t="s">
        <v>663</v>
      </c>
      <c r="J234" s="2" t="s">
        <v>29</v>
      </c>
      <c r="K234" s="2" t="s">
        <v>250</v>
      </c>
      <c r="L234" s="2"/>
      <c r="M234" s="2" t="s">
        <v>250</v>
      </c>
      <c r="N234" s="2" t="s">
        <v>664</v>
      </c>
      <c r="O234" s="2">
        <v>2</v>
      </c>
      <c r="P234" s="2" t="s">
        <v>27</v>
      </c>
      <c r="Q234" s="2" t="s">
        <v>991</v>
      </c>
      <c r="R234" s="2" t="s">
        <v>33</v>
      </c>
      <c r="S234" s="2" t="s">
        <v>27</v>
      </c>
      <c r="T234" s="2" t="s">
        <v>34</v>
      </c>
      <c r="U234" s="2" t="s">
        <v>35</v>
      </c>
      <c r="V234" s="2" t="s">
        <v>36</v>
      </c>
      <c r="W234" s="2" t="s">
        <v>37</v>
      </c>
      <c r="X234" s="4" t="s">
        <v>2487</v>
      </c>
      <c r="Y234" s="4" t="s">
        <v>2500</v>
      </c>
      <c r="Z234" t="str">
        <f t="shared" si="18"/>
        <v>9779801462823</v>
      </c>
      <c r="AA234" t="str">
        <f t="shared" si="19"/>
        <v>9801462823</v>
      </c>
      <c r="AB234" t="str">
        <f t="shared" si="20"/>
        <v>9801462823</v>
      </c>
      <c r="AC234" t="str">
        <f t="shared" si="21"/>
        <v>+9779801462823</v>
      </c>
      <c r="AD234" t="str">
        <f t="shared" si="22"/>
        <v>Mobile</v>
      </c>
      <c r="AE234" t="str">
        <f t="shared" si="23"/>
        <v>Valid</v>
      </c>
    </row>
    <row r="235" spans="1:31" x14ac:dyDescent="0.3">
      <c r="A235" s="2" t="s">
        <v>993</v>
      </c>
      <c r="B235" s="2" t="s">
        <v>994</v>
      </c>
      <c r="C235" s="2" t="s">
        <v>995</v>
      </c>
      <c r="D235" s="2" t="s">
        <v>662</v>
      </c>
      <c r="E235" s="2" t="s">
        <v>995</v>
      </c>
      <c r="F235" s="2" t="s">
        <v>995</v>
      </c>
      <c r="G235" s="5" t="str" cm="1">
        <f t="array" ref="G235">IFERROR(INDEX(City_Lookup!$B$2:$B$297,MATCH(TRUE,ISNUMBER(SEARCH(City_Lookup!$A$2:$A$297,$F235&amp;" "&amp;$E235)),0)),"Not Available")</f>
        <v>Lamjung</v>
      </c>
      <c r="H235" s="5" t="str">
        <f>IFERROR(INDEX(City_Lookup!$E$2:$E$66,MATCH($G235,City_Lookup!$D$2:$D$66,0)),"Not Available")</f>
        <v>Gandaki</v>
      </c>
      <c r="I235" s="2" t="s">
        <v>663</v>
      </c>
      <c r="J235" s="2" t="s">
        <v>29</v>
      </c>
      <c r="K235" s="2" t="s">
        <v>250</v>
      </c>
      <c r="L235" s="2"/>
      <c r="M235" s="2" t="s">
        <v>250</v>
      </c>
      <c r="N235" s="2" t="s">
        <v>664</v>
      </c>
      <c r="O235" s="2">
        <v>1</v>
      </c>
      <c r="P235" s="2" t="s">
        <v>27</v>
      </c>
      <c r="Q235" s="2" t="s">
        <v>998</v>
      </c>
      <c r="R235" s="2" t="s">
        <v>33</v>
      </c>
      <c r="S235" s="2" t="s">
        <v>27</v>
      </c>
      <c r="T235" s="2" t="s">
        <v>34</v>
      </c>
      <c r="U235" s="2" t="s">
        <v>35</v>
      </c>
      <c r="V235" s="2" t="s">
        <v>36</v>
      </c>
      <c r="W235" s="2" t="s">
        <v>37</v>
      </c>
      <c r="X235" s="4" t="s">
        <v>2487</v>
      </c>
      <c r="Y235" s="4" t="s">
        <v>2500</v>
      </c>
      <c r="Z235" t="str">
        <f t="shared" si="18"/>
        <v>9779801462823</v>
      </c>
      <c r="AA235" t="str">
        <f t="shared" si="19"/>
        <v>9801462823</v>
      </c>
      <c r="AB235" t="str">
        <f t="shared" si="20"/>
        <v>9801462823</v>
      </c>
      <c r="AC235" t="str">
        <f t="shared" si="21"/>
        <v>+9779801462823</v>
      </c>
      <c r="AD235" t="str">
        <f t="shared" si="22"/>
        <v>Mobile</v>
      </c>
      <c r="AE235" t="str">
        <f t="shared" si="23"/>
        <v>Valid</v>
      </c>
    </row>
    <row r="236" spans="1:31" x14ac:dyDescent="0.3">
      <c r="A236" s="2" t="s">
        <v>999</v>
      </c>
      <c r="B236" s="2" t="s">
        <v>1000</v>
      </c>
      <c r="C236" s="2" t="s">
        <v>1001</v>
      </c>
      <c r="D236" s="2" t="s">
        <v>662</v>
      </c>
      <c r="E236" s="2" t="s">
        <v>1001</v>
      </c>
      <c r="F236" s="2" t="s">
        <v>1001</v>
      </c>
      <c r="G236" s="5" t="str" cm="1">
        <f t="array" ref="G236">IFERROR(INDEX(City_Lookup!$B$2:$B$297,MATCH(TRUE,ISNUMBER(SEARCH(City_Lookup!$A$2:$A$297,$F236&amp;" "&amp;$E236)),0)),"Not Available")</f>
        <v>Banke</v>
      </c>
      <c r="H236" s="5" t="str">
        <f>IFERROR(INDEX(City_Lookup!$E$2:$E$66,MATCH($G236,City_Lookup!$D$2:$D$66,0)),"Not Available")</f>
        <v>Lumbini</v>
      </c>
      <c r="I236" s="2" t="s">
        <v>28</v>
      </c>
      <c r="J236" s="2" t="s">
        <v>29</v>
      </c>
      <c r="K236" s="2" t="s">
        <v>250</v>
      </c>
      <c r="L236" s="2"/>
      <c r="M236" s="2" t="s">
        <v>250</v>
      </c>
      <c r="N236" s="2" t="s">
        <v>681</v>
      </c>
      <c r="O236" s="2">
        <v>1</v>
      </c>
      <c r="P236" s="2" t="s">
        <v>27</v>
      </c>
      <c r="Q236" s="2" t="s">
        <v>1003</v>
      </c>
      <c r="R236" s="2" t="s">
        <v>33</v>
      </c>
      <c r="S236" s="2" t="s">
        <v>27</v>
      </c>
      <c r="T236" s="2" t="s">
        <v>34</v>
      </c>
      <c r="U236" s="2" t="s">
        <v>35</v>
      </c>
      <c r="V236" s="2" t="s">
        <v>36</v>
      </c>
      <c r="W236" s="2" t="s">
        <v>37</v>
      </c>
      <c r="X236" s="4" t="s">
        <v>2487</v>
      </c>
      <c r="Y236" s="4" t="s">
        <v>2500</v>
      </c>
      <c r="Z236" t="str">
        <f t="shared" si="18"/>
        <v>9779801462823</v>
      </c>
      <c r="AA236" t="str">
        <f t="shared" si="19"/>
        <v>9801462823</v>
      </c>
      <c r="AB236" t="str">
        <f t="shared" si="20"/>
        <v>9801462823</v>
      </c>
      <c r="AC236" t="str">
        <f t="shared" si="21"/>
        <v>+9779801462823</v>
      </c>
      <c r="AD236" t="str">
        <f t="shared" si="22"/>
        <v>Mobile</v>
      </c>
      <c r="AE236" t="str">
        <f t="shared" si="23"/>
        <v>Valid</v>
      </c>
    </row>
    <row r="237" spans="1:31" x14ac:dyDescent="0.3">
      <c r="A237" s="2" t="s">
        <v>1004</v>
      </c>
      <c r="B237" s="2" t="s">
        <v>1005</v>
      </c>
      <c r="C237" s="2" t="s">
        <v>1006</v>
      </c>
      <c r="D237" s="2" t="s">
        <v>662</v>
      </c>
      <c r="E237" s="2" t="s">
        <v>1006</v>
      </c>
      <c r="F237" s="2" t="s">
        <v>1006</v>
      </c>
      <c r="G237" s="5" t="str" cm="1">
        <f t="array" ref="G237">IFERROR(INDEX(City_Lookup!$B$2:$B$297,MATCH(TRUE,ISNUMBER(SEARCH(City_Lookup!$A$2:$A$297,$F237&amp;" "&amp;$E237)),0)),"Not Available")</f>
        <v>Baglung</v>
      </c>
      <c r="H237" s="5" t="str">
        <f>IFERROR(INDEX(City_Lookup!$E$2:$E$66,MATCH($G237,City_Lookup!$D$2:$D$66,0)),"Not Available")</f>
        <v>Gandaki</v>
      </c>
      <c r="I237" s="2" t="s">
        <v>663</v>
      </c>
      <c r="J237" s="2" t="s">
        <v>29</v>
      </c>
      <c r="K237" s="2" t="s">
        <v>250</v>
      </c>
      <c r="L237" s="2"/>
      <c r="M237" s="2" t="s">
        <v>250</v>
      </c>
      <c r="N237" s="2" t="s">
        <v>664</v>
      </c>
      <c r="O237" s="2">
        <v>1</v>
      </c>
      <c r="P237" s="2" t="s">
        <v>27</v>
      </c>
      <c r="Q237" s="2" t="s">
        <v>1007</v>
      </c>
      <c r="R237" s="2" t="s">
        <v>33</v>
      </c>
      <c r="S237" s="2" t="s">
        <v>27</v>
      </c>
      <c r="T237" s="2" t="s">
        <v>34</v>
      </c>
      <c r="U237" s="2" t="s">
        <v>35</v>
      </c>
      <c r="V237" s="2" t="s">
        <v>36</v>
      </c>
      <c r="W237" s="2" t="s">
        <v>37</v>
      </c>
      <c r="X237" s="4" t="s">
        <v>2487</v>
      </c>
      <c r="Y237" s="4" t="s">
        <v>2500</v>
      </c>
      <c r="Z237" t="str">
        <f t="shared" si="18"/>
        <v>9779801462823</v>
      </c>
      <c r="AA237" t="str">
        <f t="shared" si="19"/>
        <v>9801462823</v>
      </c>
      <c r="AB237" t="str">
        <f t="shared" si="20"/>
        <v>9801462823</v>
      </c>
      <c r="AC237" t="str">
        <f t="shared" si="21"/>
        <v>+9779801462823</v>
      </c>
      <c r="AD237" t="str">
        <f t="shared" si="22"/>
        <v>Mobile</v>
      </c>
      <c r="AE237" t="str">
        <f t="shared" si="23"/>
        <v>Valid</v>
      </c>
    </row>
    <row r="238" spans="1:31" x14ac:dyDescent="0.3">
      <c r="A238" s="2" t="s">
        <v>1008</v>
      </c>
      <c r="B238" s="2" t="s">
        <v>1009</v>
      </c>
      <c r="C238" s="2" t="s">
        <v>1010</v>
      </c>
      <c r="D238" s="2" t="s">
        <v>662</v>
      </c>
      <c r="E238" s="2" t="s">
        <v>1010</v>
      </c>
      <c r="F238" s="2" t="s">
        <v>1010</v>
      </c>
      <c r="G238" s="5" t="str" cm="1">
        <f t="array" ref="G238">IFERROR(INDEX(City_Lookup!$B$2:$B$297,MATCH(TRUE,ISNUMBER(SEARCH(City_Lookup!$A$2:$A$297,$F238&amp;" "&amp;$E238)),0)),"Not Available")</f>
        <v>Nawalpur</v>
      </c>
      <c r="H238" s="5" t="str">
        <f>IFERROR(INDEX(City_Lookup!$E$2:$E$66,MATCH($G238,City_Lookup!$D$2:$D$66,0)),"Not Available")</f>
        <v>Gandaki</v>
      </c>
      <c r="I238" s="2" t="s">
        <v>663</v>
      </c>
      <c r="J238" s="2" t="s">
        <v>29</v>
      </c>
      <c r="K238" s="2" t="s">
        <v>250</v>
      </c>
      <c r="L238" s="2"/>
      <c r="M238" s="2" t="s">
        <v>250</v>
      </c>
      <c r="N238" s="2" t="s">
        <v>664</v>
      </c>
      <c r="O238" s="2">
        <v>1</v>
      </c>
      <c r="P238" s="2" t="s">
        <v>27</v>
      </c>
      <c r="Q238" s="2" t="s">
        <v>1012</v>
      </c>
      <c r="R238" s="2" t="s">
        <v>33</v>
      </c>
      <c r="S238" s="2" t="s">
        <v>27</v>
      </c>
      <c r="T238" s="2" t="s">
        <v>34</v>
      </c>
      <c r="U238" s="2" t="s">
        <v>35</v>
      </c>
      <c r="V238" s="2" t="s">
        <v>36</v>
      </c>
      <c r="W238" s="2" t="s">
        <v>37</v>
      </c>
      <c r="X238" s="4" t="s">
        <v>2487</v>
      </c>
      <c r="Y238" s="4" t="s">
        <v>2500</v>
      </c>
      <c r="Z238" t="str">
        <f t="shared" si="18"/>
        <v>9779801462823</v>
      </c>
      <c r="AA238" t="str">
        <f t="shared" si="19"/>
        <v>9801462823</v>
      </c>
      <c r="AB238" t="str">
        <f t="shared" si="20"/>
        <v>9801462823</v>
      </c>
      <c r="AC238" t="str">
        <f t="shared" si="21"/>
        <v>+9779801462823</v>
      </c>
      <c r="AD238" t="str">
        <f t="shared" si="22"/>
        <v>Mobile</v>
      </c>
      <c r="AE238" t="str">
        <f t="shared" si="23"/>
        <v>Valid</v>
      </c>
    </row>
    <row r="239" spans="1:31" x14ac:dyDescent="0.3">
      <c r="A239" s="2" t="s">
        <v>1013</v>
      </c>
      <c r="B239" s="2" t="s">
        <v>1014</v>
      </c>
      <c r="C239" s="2" t="s">
        <v>1015</v>
      </c>
      <c r="D239" s="2" t="s">
        <v>662</v>
      </c>
      <c r="E239" s="2" t="s">
        <v>1015</v>
      </c>
      <c r="F239" s="2" t="s">
        <v>1015</v>
      </c>
      <c r="G239" s="5" t="str" cm="1">
        <f t="array" ref="G239">IFERROR(INDEX(City_Lookup!$B$2:$B$297,MATCH(TRUE,ISNUMBER(SEARCH(City_Lookup!$A$2:$A$297,$F239&amp;" "&amp;$E239)),0)),"Not Available")</f>
        <v>Gulmi</v>
      </c>
      <c r="H239" s="5" t="str">
        <f>IFERROR(INDEX(City_Lookup!$E$2:$E$66,MATCH($G239,City_Lookup!$D$2:$D$66,0)),"Not Available")</f>
        <v>Lumbini</v>
      </c>
      <c r="I239" s="2" t="s">
        <v>663</v>
      </c>
      <c r="J239" s="2" t="s">
        <v>29</v>
      </c>
      <c r="K239" s="2" t="s">
        <v>250</v>
      </c>
      <c r="L239" s="2"/>
      <c r="M239" s="2" t="s">
        <v>250</v>
      </c>
      <c r="N239" s="2" t="s">
        <v>664</v>
      </c>
      <c r="O239" s="2">
        <v>1</v>
      </c>
      <c r="P239" s="2" t="s">
        <v>27</v>
      </c>
      <c r="Q239" s="2" t="s">
        <v>1016</v>
      </c>
      <c r="R239" s="2" t="s">
        <v>33</v>
      </c>
      <c r="S239" s="2" t="s">
        <v>27</v>
      </c>
      <c r="T239" s="2" t="s">
        <v>34</v>
      </c>
      <c r="U239" s="2" t="s">
        <v>35</v>
      </c>
      <c r="V239" s="2" t="s">
        <v>36</v>
      </c>
      <c r="W239" s="2" t="s">
        <v>37</v>
      </c>
      <c r="X239" s="4" t="s">
        <v>2487</v>
      </c>
      <c r="Y239" s="4" t="s">
        <v>2500</v>
      </c>
      <c r="Z239" t="str">
        <f t="shared" si="18"/>
        <v>9779801462823</v>
      </c>
      <c r="AA239" t="str">
        <f t="shared" si="19"/>
        <v>9801462823</v>
      </c>
      <c r="AB239" t="str">
        <f t="shared" si="20"/>
        <v>9801462823</v>
      </c>
      <c r="AC239" t="str">
        <f t="shared" si="21"/>
        <v>+9779801462823</v>
      </c>
      <c r="AD239" t="str">
        <f t="shared" si="22"/>
        <v>Mobile</v>
      </c>
      <c r="AE239" t="str">
        <f t="shared" si="23"/>
        <v>Valid</v>
      </c>
    </row>
    <row r="240" spans="1:31" x14ac:dyDescent="0.3">
      <c r="A240" s="2" t="s">
        <v>1017</v>
      </c>
      <c r="B240" s="2" t="s">
        <v>1018</v>
      </c>
      <c r="C240" s="2" t="s">
        <v>1019</v>
      </c>
      <c r="D240" s="2" t="s">
        <v>662</v>
      </c>
      <c r="E240" s="2" t="s">
        <v>1019</v>
      </c>
      <c r="F240" s="2" t="s">
        <v>1019</v>
      </c>
      <c r="G240" s="5" t="str" cm="1">
        <f t="array" ref="G240">IFERROR(INDEX(City_Lookup!$B$2:$B$297,MATCH(TRUE,ISNUMBER(SEARCH(City_Lookup!$A$2:$A$297,$F240&amp;" "&amp;$E240)),0)),"Not Available")</f>
        <v>Kathmandu</v>
      </c>
      <c r="H240" s="5" t="str">
        <f>IFERROR(INDEX(City_Lookup!$E$2:$E$66,MATCH($G240,City_Lookup!$D$2:$D$66,0)),"Not Available")</f>
        <v>Bagmati</v>
      </c>
      <c r="I240" s="2" t="s">
        <v>663</v>
      </c>
      <c r="J240" s="2" t="s">
        <v>29</v>
      </c>
      <c r="K240" s="2" t="s">
        <v>250</v>
      </c>
      <c r="L240" s="2"/>
      <c r="M240" s="2" t="s">
        <v>250</v>
      </c>
      <c r="N240" s="2" t="s">
        <v>664</v>
      </c>
      <c r="O240" s="2">
        <v>1</v>
      </c>
      <c r="P240" s="2" t="s">
        <v>27</v>
      </c>
      <c r="Q240" s="2" t="s">
        <v>1021</v>
      </c>
      <c r="R240" s="2" t="s">
        <v>33</v>
      </c>
      <c r="S240" s="2" t="s">
        <v>27</v>
      </c>
      <c r="T240" s="2" t="s">
        <v>34</v>
      </c>
      <c r="U240" s="2" t="s">
        <v>35</v>
      </c>
      <c r="V240" s="2" t="s">
        <v>36</v>
      </c>
      <c r="W240" s="2" t="s">
        <v>37</v>
      </c>
      <c r="X240" s="4" t="s">
        <v>2487</v>
      </c>
      <c r="Y240" s="4" t="s">
        <v>2500</v>
      </c>
      <c r="Z240" t="str">
        <f t="shared" si="18"/>
        <v>9779801462823</v>
      </c>
      <c r="AA240" t="str">
        <f t="shared" si="19"/>
        <v>9801462823</v>
      </c>
      <c r="AB240" t="str">
        <f t="shared" si="20"/>
        <v>9801462823</v>
      </c>
      <c r="AC240" t="str">
        <f t="shared" si="21"/>
        <v>+9779801462823</v>
      </c>
      <c r="AD240" t="str">
        <f t="shared" si="22"/>
        <v>Mobile</v>
      </c>
      <c r="AE240" t="str">
        <f t="shared" si="23"/>
        <v>Valid</v>
      </c>
    </row>
    <row r="241" spans="1:31" x14ac:dyDescent="0.3">
      <c r="A241" s="2" t="s">
        <v>1022</v>
      </c>
      <c r="B241" s="2" t="s">
        <v>1023</v>
      </c>
      <c r="C241" s="2" t="s">
        <v>1024</v>
      </c>
      <c r="D241" s="2" t="s">
        <v>662</v>
      </c>
      <c r="E241" s="2" t="s">
        <v>1024</v>
      </c>
      <c r="F241" s="2" t="s">
        <v>1024</v>
      </c>
      <c r="G241" s="5" t="str" cm="1">
        <f t="array" ref="G241">IFERROR(INDEX(City_Lookup!$B$2:$B$297,MATCH(TRUE,ISNUMBER(SEARCH(City_Lookup!$A$2:$A$297,$F241&amp;" "&amp;$E241)),0)),"Not Available")</f>
        <v>Kathmandu</v>
      </c>
      <c r="H241" s="5" t="str">
        <f>IFERROR(INDEX(City_Lookup!$E$2:$E$66,MATCH($G241,City_Lookup!$D$2:$D$66,0)),"Not Available")</f>
        <v>Bagmati</v>
      </c>
      <c r="I241" s="2" t="s">
        <v>663</v>
      </c>
      <c r="J241" s="2" t="s">
        <v>29</v>
      </c>
      <c r="K241" s="2" t="s">
        <v>250</v>
      </c>
      <c r="L241" s="2"/>
      <c r="M241" s="2" t="s">
        <v>250</v>
      </c>
      <c r="N241" s="2" t="s">
        <v>664</v>
      </c>
      <c r="O241" s="2">
        <v>1</v>
      </c>
      <c r="P241" s="2" t="s">
        <v>27</v>
      </c>
      <c r="Q241" s="2" t="s">
        <v>1025</v>
      </c>
      <c r="R241" s="2" t="s">
        <v>33</v>
      </c>
      <c r="S241" s="2" t="s">
        <v>27</v>
      </c>
      <c r="T241" s="2" t="s">
        <v>34</v>
      </c>
      <c r="U241" s="2" t="s">
        <v>35</v>
      </c>
      <c r="V241" s="2" t="s">
        <v>36</v>
      </c>
      <c r="W241" s="2" t="s">
        <v>37</v>
      </c>
      <c r="X241" s="4" t="s">
        <v>2487</v>
      </c>
      <c r="Y241" s="4" t="s">
        <v>2500</v>
      </c>
      <c r="Z241" t="str">
        <f t="shared" si="18"/>
        <v>9779801462823</v>
      </c>
      <c r="AA241" t="str">
        <f t="shared" si="19"/>
        <v>9801462823</v>
      </c>
      <c r="AB241" t="str">
        <f t="shared" si="20"/>
        <v>9801462823</v>
      </c>
      <c r="AC241" t="str">
        <f t="shared" si="21"/>
        <v>+9779801462823</v>
      </c>
      <c r="AD241" t="str">
        <f t="shared" si="22"/>
        <v>Mobile</v>
      </c>
      <c r="AE241" t="str">
        <f t="shared" si="23"/>
        <v>Valid</v>
      </c>
    </row>
    <row r="242" spans="1:31" x14ac:dyDescent="0.3">
      <c r="A242" s="2" t="s">
        <v>1026</v>
      </c>
      <c r="B242" s="2" t="s">
        <v>1027</v>
      </c>
      <c r="C242" s="2" t="s">
        <v>1028</v>
      </c>
      <c r="D242" s="2" t="s">
        <v>662</v>
      </c>
      <c r="E242" s="2" t="s">
        <v>1028</v>
      </c>
      <c r="F242" s="2" t="s">
        <v>1028</v>
      </c>
      <c r="G242" s="5" t="str" cm="1">
        <f t="array" ref="G242">IFERROR(INDEX(City_Lookup!$B$2:$B$297,MATCH(TRUE,ISNUMBER(SEARCH(City_Lookup!$A$2:$A$297,$F242&amp;" "&amp;$E242)),0)),"Not Available")</f>
        <v>Kathmandu</v>
      </c>
      <c r="H242" s="5" t="str">
        <f>IFERROR(INDEX(City_Lookup!$E$2:$E$66,MATCH($G242,City_Lookup!$D$2:$D$66,0)),"Not Available")</f>
        <v>Bagmati</v>
      </c>
      <c r="I242" s="2" t="s">
        <v>663</v>
      </c>
      <c r="J242" s="2" t="s">
        <v>29</v>
      </c>
      <c r="K242" s="2" t="s">
        <v>250</v>
      </c>
      <c r="L242" s="2"/>
      <c r="M242" s="2" t="s">
        <v>250</v>
      </c>
      <c r="N242" s="2" t="s">
        <v>664</v>
      </c>
      <c r="O242" s="2">
        <v>1</v>
      </c>
      <c r="P242" s="2" t="s">
        <v>27</v>
      </c>
      <c r="Q242" s="2" t="s">
        <v>1030</v>
      </c>
      <c r="R242" s="2" t="s">
        <v>33</v>
      </c>
      <c r="S242" s="2" t="s">
        <v>27</v>
      </c>
      <c r="T242" s="2" t="s">
        <v>34</v>
      </c>
      <c r="U242" s="2" t="s">
        <v>35</v>
      </c>
      <c r="V242" s="2" t="s">
        <v>36</v>
      </c>
      <c r="W242" s="2" t="s">
        <v>37</v>
      </c>
      <c r="X242" s="4" t="s">
        <v>2487</v>
      </c>
      <c r="Y242" s="4" t="s">
        <v>2500</v>
      </c>
      <c r="Z242" t="str">
        <f t="shared" si="18"/>
        <v>9779801462823</v>
      </c>
      <c r="AA242" t="str">
        <f t="shared" si="19"/>
        <v>9801462823</v>
      </c>
      <c r="AB242" t="str">
        <f t="shared" si="20"/>
        <v>9801462823</v>
      </c>
      <c r="AC242" t="str">
        <f t="shared" si="21"/>
        <v>+9779801462823</v>
      </c>
      <c r="AD242" t="str">
        <f t="shared" si="22"/>
        <v>Mobile</v>
      </c>
      <c r="AE242" t="str">
        <f t="shared" si="23"/>
        <v>Valid</v>
      </c>
    </row>
    <row r="243" spans="1:31" x14ac:dyDescent="0.3">
      <c r="A243" s="2" t="s">
        <v>1031</v>
      </c>
      <c r="B243" s="2" t="s">
        <v>1032</v>
      </c>
      <c r="C243" s="2" t="s">
        <v>1033</v>
      </c>
      <c r="D243" s="2" t="s">
        <v>662</v>
      </c>
      <c r="E243" s="2" t="s">
        <v>1033</v>
      </c>
      <c r="F243" s="2" t="s">
        <v>1033</v>
      </c>
      <c r="G243" s="5" t="str" cm="1">
        <f t="array" ref="G243">IFERROR(INDEX(City_Lookup!$B$2:$B$297,MATCH(TRUE,ISNUMBER(SEARCH(City_Lookup!$A$2:$A$297,$F243&amp;" "&amp;$E243)),0)),"Not Available")</f>
        <v>Rupandehi</v>
      </c>
      <c r="H243" s="5" t="str">
        <f>IFERROR(INDEX(City_Lookup!$E$2:$E$66,MATCH($G243,City_Lookup!$D$2:$D$66,0)),"Not Available")</f>
        <v>Lumbini</v>
      </c>
      <c r="I243" s="2" t="s">
        <v>28</v>
      </c>
      <c r="J243" s="2" t="s">
        <v>29</v>
      </c>
      <c r="K243" s="2" t="s">
        <v>250</v>
      </c>
      <c r="L243" s="2"/>
      <c r="M243" s="2" t="s">
        <v>250</v>
      </c>
      <c r="N243" s="2" t="s">
        <v>681</v>
      </c>
      <c r="O243" s="2">
        <v>1</v>
      </c>
      <c r="P243" s="2" t="s">
        <v>27</v>
      </c>
      <c r="Q243" s="2" t="s">
        <v>1034</v>
      </c>
      <c r="R243" s="2" t="s">
        <v>33</v>
      </c>
      <c r="S243" s="2" t="s">
        <v>27</v>
      </c>
      <c r="T243" s="2" t="s">
        <v>34</v>
      </c>
      <c r="U243" s="2" t="s">
        <v>35</v>
      </c>
      <c r="V243" s="2" t="s">
        <v>36</v>
      </c>
      <c r="W243" s="2" t="s">
        <v>37</v>
      </c>
      <c r="X243" s="4" t="s">
        <v>2490</v>
      </c>
      <c r="Y243" s="4" t="s">
        <v>2502</v>
      </c>
      <c r="Z243" t="str">
        <f t="shared" si="18"/>
        <v>9779761888797</v>
      </c>
      <c r="AA243" t="str">
        <f t="shared" si="19"/>
        <v>9761888797</v>
      </c>
      <c r="AB243" t="str">
        <f t="shared" si="20"/>
        <v>9761888797</v>
      </c>
      <c r="AC243" t="str">
        <f t="shared" si="21"/>
        <v>+9779761888797</v>
      </c>
      <c r="AD243" t="str">
        <f t="shared" si="22"/>
        <v>Mobile</v>
      </c>
      <c r="AE243" t="str">
        <f t="shared" si="23"/>
        <v>Valid</v>
      </c>
    </row>
    <row r="244" spans="1:31" x14ac:dyDescent="0.3">
      <c r="A244" s="2" t="s">
        <v>1035</v>
      </c>
      <c r="B244" s="2" t="s">
        <v>1036</v>
      </c>
      <c r="C244" s="2" t="s">
        <v>1037</v>
      </c>
      <c r="D244" s="2" t="s">
        <v>662</v>
      </c>
      <c r="E244" s="2" t="s">
        <v>1037</v>
      </c>
      <c r="F244" s="2" t="s">
        <v>1037</v>
      </c>
      <c r="G244" s="5" t="str" cm="1">
        <f t="array" ref="G244">IFERROR(INDEX(City_Lookup!$B$2:$B$297,MATCH(TRUE,ISNUMBER(SEARCH(City_Lookup!$A$2:$A$297,$F244&amp;" "&amp;$E244)),0)),"Not Available")</f>
        <v>Nawalpur</v>
      </c>
      <c r="H244" s="5" t="str">
        <f>IFERROR(INDEX(City_Lookup!$E$2:$E$66,MATCH($G244,City_Lookup!$D$2:$D$66,0)),"Not Available")</f>
        <v>Gandaki</v>
      </c>
      <c r="I244" s="2" t="s">
        <v>663</v>
      </c>
      <c r="J244" s="2" t="s">
        <v>29</v>
      </c>
      <c r="K244" s="2" t="s">
        <v>250</v>
      </c>
      <c r="L244" s="2"/>
      <c r="M244" s="2" t="s">
        <v>250</v>
      </c>
      <c r="N244" s="2" t="s">
        <v>664</v>
      </c>
      <c r="O244" s="2">
        <v>1</v>
      </c>
      <c r="P244" s="2" t="s">
        <v>27</v>
      </c>
      <c r="Q244" s="2" t="s">
        <v>1038</v>
      </c>
      <c r="R244" s="2" t="s">
        <v>33</v>
      </c>
      <c r="S244" s="2" t="s">
        <v>27</v>
      </c>
      <c r="T244" s="2" t="s">
        <v>34</v>
      </c>
      <c r="U244" s="2" t="s">
        <v>35</v>
      </c>
      <c r="V244" s="2" t="s">
        <v>36</v>
      </c>
      <c r="W244" s="2" t="s">
        <v>37</v>
      </c>
      <c r="X244" s="4" t="s">
        <v>2487</v>
      </c>
      <c r="Y244" s="4" t="s">
        <v>2500</v>
      </c>
      <c r="Z244" t="str">
        <f t="shared" si="18"/>
        <v>9779801462823</v>
      </c>
      <c r="AA244" t="str">
        <f t="shared" si="19"/>
        <v>9801462823</v>
      </c>
      <c r="AB244" t="str">
        <f t="shared" si="20"/>
        <v>9801462823</v>
      </c>
      <c r="AC244" t="str">
        <f t="shared" si="21"/>
        <v>+9779801462823</v>
      </c>
      <c r="AD244" t="str">
        <f t="shared" si="22"/>
        <v>Mobile</v>
      </c>
      <c r="AE244" t="str">
        <f t="shared" si="23"/>
        <v>Valid</v>
      </c>
    </row>
    <row r="245" spans="1:31" x14ac:dyDescent="0.3">
      <c r="A245" s="2" t="s">
        <v>1039</v>
      </c>
      <c r="B245" s="2" t="s">
        <v>1040</v>
      </c>
      <c r="C245" s="2" t="s">
        <v>1041</v>
      </c>
      <c r="D245" s="2" t="s">
        <v>662</v>
      </c>
      <c r="E245" s="2" t="s">
        <v>1041</v>
      </c>
      <c r="F245" s="2" t="s">
        <v>1041</v>
      </c>
      <c r="G245" s="5" t="str" cm="1">
        <f t="array" ref="G245">IFERROR(INDEX(City_Lookup!$B$2:$B$297,MATCH(TRUE,ISNUMBER(SEARCH(City_Lookup!$A$2:$A$297,$F245&amp;" "&amp;$E245)),0)),"Not Available")</f>
        <v>Nawalpur</v>
      </c>
      <c r="H245" s="5" t="str">
        <f>IFERROR(INDEX(City_Lookup!$E$2:$E$66,MATCH($G245,City_Lookup!$D$2:$D$66,0)),"Not Available")</f>
        <v>Gandaki</v>
      </c>
      <c r="I245" s="2" t="s">
        <v>663</v>
      </c>
      <c r="J245" s="2" t="s">
        <v>29</v>
      </c>
      <c r="K245" s="2" t="s">
        <v>250</v>
      </c>
      <c r="L245" s="2"/>
      <c r="M245" s="2" t="s">
        <v>250</v>
      </c>
      <c r="N245" s="2" t="s">
        <v>664</v>
      </c>
      <c r="O245" s="2">
        <v>1</v>
      </c>
      <c r="P245" s="2" t="s">
        <v>27</v>
      </c>
      <c r="Q245" s="2" t="s">
        <v>1043</v>
      </c>
      <c r="R245" s="2" t="s">
        <v>33</v>
      </c>
      <c r="S245" s="2" t="s">
        <v>27</v>
      </c>
      <c r="T245" s="2" t="s">
        <v>34</v>
      </c>
      <c r="U245" s="2" t="s">
        <v>35</v>
      </c>
      <c r="V245" s="2" t="s">
        <v>36</v>
      </c>
      <c r="W245" s="2" t="s">
        <v>37</v>
      </c>
      <c r="X245" s="4" t="s">
        <v>2487</v>
      </c>
      <c r="Y245" s="4" t="s">
        <v>2500</v>
      </c>
      <c r="Z245" t="str">
        <f t="shared" si="18"/>
        <v>9779801462823</v>
      </c>
      <c r="AA245" t="str">
        <f t="shared" si="19"/>
        <v>9801462823</v>
      </c>
      <c r="AB245" t="str">
        <f t="shared" si="20"/>
        <v>9801462823</v>
      </c>
      <c r="AC245" t="str">
        <f t="shared" si="21"/>
        <v>+9779801462823</v>
      </c>
      <c r="AD245" t="str">
        <f t="shared" si="22"/>
        <v>Mobile</v>
      </c>
      <c r="AE245" t="str">
        <f t="shared" si="23"/>
        <v>Valid</v>
      </c>
    </row>
    <row r="246" spans="1:31" x14ac:dyDescent="0.3">
      <c r="A246" s="2" t="s">
        <v>1044</v>
      </c>
      <c r="B246" s="2" t="s">
        <v>1045</v>
      </c>
      <c r="C246" s="2" t="s">
        <v>1046</v>
      </c>
      <c r="D246" s="2" t="s">
        <v>662</v>
      </c>
      <c r="E246" s="2" t="s">
        <v>1046</v>
      </c>
      <c r="F246" s="2" t="s">
        <v>1046</v>
      </c>
      <c r="G246" s="5" t="str" cm="1">
        <f t="array" ref="G246">IFERROR(INDEX(City_Lookup!$B$2:$B$297,MATCH(TRUE,ISNUMBER(SEARCH(City_Lookup!$A$2:$A$297,$F246&amp;" "&amp;$E246)),0)),"Not Available")</f>
        <v>Banke</v>
      </c>
      <c r="H246" s="5" t="str">
        <f>IFERROR(INDEX(City_Lookup!$E$2:$E$66,MATCH($G246,City_Lookup!$D$2:$D$66,0)),"Not Available")</f>
        <v>Lumbini</v>
      </c>
      <c r="I246" s="2" t="s">
        <v>28</v>
      </c>
      <c r="J246" s="2" t="s">
        <v>29</v>
      </c>
      <c r="K246" s="2" t="s">
        <v>250</v>
      </c>
      <c r="L246" s="2"/>
      <c r="M246" s="2" t="s">
        <v>250</v>
      </c>
      <c r="N246" s="2" t="s">
        <v>681</v>
      </c>
      <c r="O246" s="2">
        <v>2</v>
      </c>
      <c r="P246" s="2" t="s">
        <v>1047</v>
      </c>
      <c r="Q246" s="2" t="s">
        <v>1048</v>
      </c>
      <c r="R246" s="2" t="s">
        <v>33</v>
      </c>
      <c r="S246" s="2" t="s">
        <v>27</v>
      </c>
      <c r="T246" s="2" t="s">
        <v>34</v>
      </c>
      <c r="U246" s="2" t="s">
        <v>35</v>
      </c>
      <c r="V246" s="2" t="s">
        <v>36</v>
      </c>
      <c r="W246" s="2" t="s">
        <v>37</v>
      </c>
      <c r="X246" s="4" t="s">
        <v>1047</v>
      </c>
      <c r="Y246" s="4" t="s">
        <v>2501</v>
      </c>
      <c r="Z246" t="str">
        <f t="shared" si="18"/>
        <v>9779858022655</v>
      </c>
      <c r="AA246" t="str">
        <f t="shared" si="19"/>
        <v>9858022655</v>
      </c>
      <c r="AB246" t="str">
        <f t="shared" si="20"/>
        <v>9858022655</v>
      </c>
      <c r="AC246" t="str">
        <f t="shared" si="21"/>
        <v>+9779858022655</v>
      </c>
      <c r="AD246" t="str">
        <f t="shared" si="22"/>
        <v>Mobile</v>
      </c>
      <c r="AE246" t="str">
        <f t="shared" si="23"/>
        <v>Valid</v>
      </c>
    </row>
    <row r="247" spans="1:31" x14ac:dyDescent="0.3">
      <c r="A247" s="2" t="s">
        <v>1044</v>
      </c>
      <c r="B247" s="2" t="s">
        <v>1049</v>
      </c>
      <c r="C247" s="2" t="s">
        <v>1046</v>
      </c>
      <c r="D247" s="2" t="s">
        <v>662</v>
      </c>
      <c r="E247" s="2" t="s">
        <v>1046</v>
      </c>
      <c r="F247" s="2" t="s">
        <v>1046</v>
      </c>
      <c r="G247" s="5" t="str" cm="1">
        <f t="array" ref="G247">IFERROR(INDEX(City_Lookup!$B$2:$B$297,MATCH(TRUE,ISNUMBER(SEARCH(City_Lookup!$A$2:$A$297,$F247&amp;" "&amp;$E247)),0)),"Not Available")</f>
        <v>Banke</v>
      </c>
      <c r="H247" s="5" t="str">
        <f>IFERROR(INDEX(City_Lookup!$E$2:$E$66,MATCH($G247,City_Lookup!$D$2:$D$66,0)),"Not Available")</f>
        <v>Lumbini</v>
      </c>
      <c r="I247" s="2" t="s">
        <v>663</v>
      </c>
      <c r="J247" s="2" t="s">
        <v>29</v>
      </c>
      <c r="K247" s="2" t="s">
        <v>250</v>
      </c>
      <c r="L247" s="2"/>
      <c r="M247" s="2" t="s">
        <v>250</v>
      </c>
      <c r="N247" s="2" t="s">
        <v>664</v>
      </c>
      <c r="O247" s="2">
        <v>2</v>
      </c>
      <c r="P247" s="2" t="s">
        <v>1047</v>
      </c>
      <c r="Q247" s="2" t="s">
        <v>1048</v>
      </c>
      <c r="R247" s="2" t="s">
        <v>33</v>
      </c>
      <c r="S247" s="2" t="s">
        <v>27</v>
      </c>
      <c r="T247" s="2" t="s">
        <v>34</v>
      </c>
      <c r="U247" s="2" t="s">
        <v>35</v>
      </c>
      <c r="V247" s="2" t="s">
        <v>36</v>
      </c>
      <c r="W247" s="2" t="s">
        <v>37</v>
      </c>
      <c r="X247" s="4" t="s">
        <v>1047</v>
      </c>
      <c r="Y247" s="4" t="s">
        <v>2501</v>
      </c>
      <c r="Z247" t="str">
        <f t="shared" si="18"/>
        <v>9779858022655</v>
      </c>
      <c r="AA247" t="str">
        <f t="shared" si="19"/>
        <v>9858022655</v>
      </c>
      <c r="AB247" t="str">
        <f t="shared" si="20"/>
        <v>9858022655</v>
      </c>
      <c r="AC247" t="str">
        <f t="shared" si="21"/>
        <v>+9779858022655</v>
      </c>
      <c r="AD247" t="str">
        <f t="shared" si="22"/>
        <v>Mobile</v>
      </c>
      <c r="AE247" t="str">
        <f t="shared" si="23"/>
        <v>Valid</v>
      </c>
    </row>
    <row r="248" spans="1:31" x14ac:dyDescent="0.3">
      <c r="A248" s="2" t="s">
        <v>1050</v>
      </c>
      <c r="B248" s="2" t="s">
        <v>1051</v>
      </c>
      <c r="C248" s="2" t="s">
        <v>1052</v>
      </c>
      <c r="D248" s="2" t="s">
        <v>662</v>
      </c>
      <c r="E248" s="2" t="s">
        <v>1052</v>
      </c>
      <c r="F248" s="2" t="s">
        <v>1052</v>
      </c>
      <c r="G248" s="5" t="str" cm="1">
        <f t="array" ref="G248">IFERROR(INDEX(City_Lookup!$B$2:$B$297,MATCH(TRUE,ISNUMBER(SEARCH(City_Lookup!$A$2:$A$297,$F248&amp;" "&amp;$E248)),0)),"Not Available")</f>
        <v>Doti</v>
      </c>
      <c r="H248" s="5" t="str">
        <f>IFERROR(INDEX(City_Lookup!$E$2:$E$66,MATCH($G248,City_Lookup!$D$2:$D$66,0)),"Not Available")</f>
        <v>Sudurpashchim</v>
      </c>
      <c r="I248" s="2" t="s">
        <v>28</v>
      </c>
      <c r="J248" s="2" t="s">
        <v>29</v>
      </c>
      <c r="K248" s="2" t="s">
        <v>250</v>
      </c>
      <c r="L248" s="2"/>
      <c r="M248" s="2" t="s">
        <v>250</v>
      </c>
      <c r="N248" s="2" t="s">
        <v>681</v>
      </c>
      <c r="O248" s="2">
        <v>2</v>
      </c>
      <c r="P248" s="2" t="s">
        <v>800</v>
      </c>
      <c r="Q248" s="2" t="s">
        <v>1055</v>
      </c>
      <c r="R248" s="2" t="s">
        <v>33</v>
      </c>
      <c r="S248" s="2" t="s">
        <v>27</v>
      </c>
      <c r="T248" s="2" t="s">
        <v>34</v>
      </c>
      <c r="U248" s="2" t="s">
        <v>35</v>
      </c>
      <c r="V248" s="2" t="s">
        <v>36</v>
      </c>
      <c r="W248" s="2" t="s">
        <v>37</v>
      </c>
      <c r="X248" s="4" t="s">
        <v>800</v>
      </c>
      <c r="Y248" s="4" t="s">
        <v>2501</v>
      </c>
      <c r="Z248" t="str">
        <f t="shared" si="18"/>
        <v>9779848750158</v>
      </c>
      <c r="AA248" t="str">
        <f t="shared" si="19"/>
        <v>9848750158</v>
      </c>
      <c r="AB248" t="str">
        <f t="shared" si="20"/>
        <v>9848750158</v>
      </c>
      <c r="AC248" t="str">
        <f t="shared" si="21"/>
        <v>+9779848750158</v>
      </c>
      <c r="AD248" t="str">
        <f t="shared" si="22"/>
        <v>Mobile</v>
      </c>
      <c r="AE248" t="str">
        <f t="shared" si="23"/>
        <v>Valid</v>
      </c>
    </row>
    <row r="249" spans="1:31" x14ac:dyDescent="0.3">
      <c r="A249" s="2" t="s">
        <v>1050</v>
      </c>
      <c r="B249" s="2" t="s">
        <v>1056</v>
      </c>
      <c r="C249" s="2" t="s">
        <v>1052</v>
      </c>
      <c r="D249" s="2" t="s">
        <v>662</v>
      </c>
      <c r="E249" s="2" t="s">
        <v>1052</v>
      </c>
      <c r="F249" s="2" t="s">
        <v>1052</v>
      </c>
      <c r="G249" s="5" t="str" cm="1">
        <f t="array" ref="G249">IFERROR(INDEX(City_Lookup!$B$2:$B$297,MATCH(TRUE,ISNUMBER(SEARCH(City_Lookup!$A$2:$A$297,$F249&amp;" "&amp;$E249)),0)),"Not Available")</f>
        <v>Doti</v>
      </c>
      <c r="H249" s="5" t="str">
        <f>IFERROR(INDEX(City_Lookup!$E$2:$E$66,MATCH($G249,City_Lookup!$D$2:$D$66,0)),"Not Available")</f>
        <v>Sudurpashchim</v>
      </c>
      <c r="I249" s="2" t="s">
        <v>663</v>
      </c>
      <c r="J249" s="2" t="s">
        <v>29</v>
      </c>
      <c r="K249" s="2" t="s">
        <v>250</v>
      </c>
      <c r="L249" s="2"/>
      <c r="M249" s="2" t="s">
        <v>250</v>
      </c>
      <c r="N249" s="2" t="s">
        <v>664</v>
      </c>
      <c r="O249" s="2">
        <v>2</v>
      </c>
      <c r="P249" s="2" t="s">
        <v>800</v>
      </c>
      <c r="Q249" s="2" t="s">
        <v>1055</v>
      </c>
      <c r="R249" s="2" t="s">
        <v>33</v>
      </c>
      <c r="S249" s="2" t="s">
        <v>27</v>
      </c>
      <c r="T249" s="2" t="s">
        <v>34</v>
      </c>
      <c r="U249" s="2" t="s">
        <v>35</v>
      </c>
      <c r="V249" s="2" t="s">
        <v>36</v>
      </c>
      <c r="W249" s="2" t="s">
        <v>37</v>
      </c>
      <c r="X249" s="4" t="s">
        <v>800</v>
      </c>
      <c r="Y249" s="4" t="s">
        <v>2501</v>
      </c>
      <c r="Z249" t="str">
        <f t="shared" si="18"/>
        <v>9779848750158</v>
      </c>
      <c r="AA249" t="str">
        <f t="shared" si="19"/>
        <v>9848750158</v>
      </c>
      <c r="AB249" t="str">
        <f t="shared" si="20"/>
        <v>9848750158</v>
      </c>
      <c r="AC249" t="str">
        <f t="shared" si="21"/>
        <v>+9779848750158</v>
      </c>
      <c r="AD249" t="str">
        <f t="shared" si="22"/>
        <v>Mobile</v>
      </c>
      <c r="AE249" t="str">
        <f t="shared" si="23"/>
        <v>Valid</v>
      </c>
    </row>
    <row r="250" spans="1:31" x14ac:dyDescent="0.3">
      <c r="A250" s="2" t="s">
        <v>1057</v>
      </c>
      <c r="B250" s="2" t="s">
        <v>1058</v>
      </c>
      <c r="C250" s="2" t="s">
        <v>1059</v>
      </c>
      <c r="D250" s="2" t="s">
        <v>662</v>
      </c>
      <c r="E250" s="2" t="s">
        <v>1059</v>
      </c>
      <c r="F250" s="2" t="s">
        <v>1059</v>
      </c>
      <c r="G250" s="5" t="str" cm="1">
        <f t="array" ref="G250">IFERROR(INDEX(City_Lookup!$B$2:$B$297,MATCH(TRUE,ISNUMBER(SEARCH(City_Lookup!$A$2:$A$297,$F250&amp;" "&amp;$E250)),0)),"Not Available")</f>
        <v>Syangja</v>
      </c>
      <c r="H250" s="5" t="str">
        <f>IFERROR(INDEX(City_Lookup!$E$2:$E$66,MATCH($G250,City_Lookup!$D$2:$D$66,0)),"Not Available")</f>
        <v>Gandaki</v>
      </c>
      <c r="I250" s="2" t="s">
        <v>28</v>
      </c>
      <c r="J250" s="2" t="s">
        <v>29</v>
      </c>
      <c r="K250" s="2" t="s">
        <v>250</v>
      </c>
      <c r="L250" s="2"/>
      <c r="M250" s="2" t="s">
        <v>250</v>
      </c>
      <c r="N250" s="2" t="s">
        <v>681</v>
      </c>
      <c r="O250" s="2">
        <v>1</v>
      </c>
      <c r="P250" s="2" t="s">
        <v>27</v>
      </c>
      <c r="Q250" s="2" t="s">
        <v>1061</v>
      </c>
      <c r="R250" s="2" t="s">
        <v>33</v>
      </c>
      <c r="S250" s="2" t="s">
        <v>27</v>
      </c>
      <c r="T250" s="2" t="s">
        <v>34</v>
      </c>
      <c r="U250" s="2" t="s">
        <v>35</v>
      </c>
      <c r="V250" s="2" t="s">
        <v>36</v>
      </c>
      <c r="W250" s="2" t="s">
        <v>37</v>
      </c>
      <c r="X250" s="4" t="s">
        <v>2487</v>
      </c>
      <c r="Y250" s="4" t="s">
        <v>2500</v>
      </c>
      <c r="Z250" t="str">
        <f t="shared" si="18"/>
        <v>9779801462823</v>
      </c>
      <c r="AA250" t="str">
        <f t="shared" si="19"/>
        <v>9801462823</v>
      </c>
      <c r="AB250" t="str">
        <f t="shared" si="20"/>
        <v>9801462823</v>
      </c>
      <c r="AC250" t="str">
        <f t="shared" si="21"/>
        <v>+9779801462823</v>
      </c>
      <c r="AD250" t="str">
        <f t="shared" si="22"/>
        <v>Mobile</v>
      </c>
      <c r="AE250" t="str">
        <f t="shared" si="23"/>
        <v>Valid</v>
      </c>
    </row>
    <row r="251" spans="1:31" x14ac:dyDescent="0.3">
      <c r="A251" s="2" t="s">
        <v>1062</v>
      </c>
      <c r="B251" s="2" t="s">
        <v>1063</v>
      </c>
      <c r="C251" s="2" t="s">
        <v>1064</v>
      </c>
      <c r="D251" s="2" t="s">
        <v>662</v>
      </c>
      <c r="E251" s="2" t="s">
        <v>1064</v>
      </c>
      <c r="F251" s="2" t="s">
        <v>1064</v>
      </c>
      <c r="G251" s="5" t="str" cm="1">
        <f t="array" ref="G251">IFERROR(INDEX(City_Lookup!$B$2:$B$297,MATCH(TRUE,ISNUMBER(SEARCH(City_Lookup!$A$2:$A$297,$F251&amp;" "&amp;$E251)),0)),"Not Available")</f>
        <v>Parbat</v>
      </c>
      <c r="H251" s="5" t="str">
        <f>IFERROR(INDEX(City_Lookup!$E$2:$E$66,MATCH($G251,City_Lookup!$D$2:$D$66,0)),"Not Available")</f>
        <v>Gandaki</v>
      </c>
      <c r="I251" s="2" t="s">
        <v>28</v>
      </c>
      <c r="J251" s="2" t="s">
        <v>29</v>
      </c>
      <c r="K251" s="2" t="s">
        <v>250</v>
      </c>
      <c r="L251" s="2"/>
      <c r="M251" s="2" t="s">
        <v>250</v>
      </c>
      <c r="N251" s="2" t="s">
        <v>681</v>
      </c>
      <c r="O251" s="2">
        <v>1</v>
      </c>
      <c r="P251" s="2" t="s">
        <v>27</v>
      </c>
      <c r="Q251" s="2" t="s">
        <v>1066</v>
      </c>
      <c r="R251" s="2" t="s">
        <v>33</v>
      </c>
      <c r="S251" s="2" t="s">
        <v>27</v>
      </c>
      <c r="T251" s="2" t="s">
        <v>34</v>
      </c>
      <c r="U251" s="2" t="s">
        <v>35</v>
      </c>
      <c r="V251" s="2" t="s">
        <v>36</v>
      </c>
      <c r="W251" s="2" t="s">
        <v>37</v>
      </c>
      <c r="X251" s="4" t="s">
        <v>2487</v>
      </c>
      <c r="Y251" s="4" t="s">
        <v>2500</v>
      </c>
      <c r="Z251" t="str">
        <f t="shared" si="18"/>
        <v>9779801462823</v>
      </c>
      <c r="AA251" t="str">
        <f t="shared" si="19"/>
        <v>9801462823</v>
      </c>
      <c r="AB251" t="str">
        <f t="shared" si="20"/>
        <v>9801462823</v>
      </c>
      <c r="AC251" t="str">
        <f t="shared" si="21"/>
        <v>+9779801462823</v>
      </c>
      <c r="AD251" t="str">
        <f t="shared" si="22"/>
        <v>Mobile</v>
      </c>
      <c r="AE251" t="str">
        <f t="shared" si="23"/>
        <v>Valid</v>
      </c>
    </row>
    <row r="252" spans="1:31" x14ac:dyDescent="0.3">
      <c r="A252" s="2" t="s">
        <v>1067</v>
      </c>
      <c r="B252" s="2" t="s">
        <v>1068</v>
      </c>
      <c r="C252" s="2" t="s">
        <v>1069</v>
      </c>
      <c r="D252" s="2" t="s">
        <v>662</v>
      </c>
      <c r="E252" s="2" t="s">
        <v>1069</v>
      </c>
      <c r="F252" s="2" t="s">
        <v>1069</v>
      </c>
      <c r="G252" s="5" t="str" cm="1">
        <f t="array" ref="G252">IFERROR(INDEX(City_Lookup!$B$2:$B$297,MATCH(TRUE,ISNUMBER(SEARCH(City_Lookup!$A$2:$A$297,$F252&amp;" "&amp;$E252)),0)),"Not Available")</f>
        <v>Rupandehi</v>
      </c>
      <c r="H252" s="5" t="str">
        <f>IFERROR(INDEX(City_Lookup!$E$2:$E$66,MATCH($G252,City_Lookup!$D$2:$D$66,0)),"Not Available")</f>
        <v>Lumbini</v>
      </c>
      <c r="I252" s="2" t="s">
        <v>663</v>
      </c>
      <c r="J252" s="2" t="s">
        <v>29</v>
      </c>
      <c r="K252" s="2" t="s">
        <v>250</v>
      </c>
      <c r="L252" s="2"/>
      <c r="M252" s="2" t="s">
        <v>250</v>
      </c>
      <c r="N252" s="2" t="s">
        <v>664</v>
      </c>
      <c r="O252" s="2">
        <v>1</v>
      </c>
      <c r="P252" s="2" t="s">
        <v>27</v>
      </c>
      <c r="Q252" s="2" t="s">
        <v>1070</v>
      </c>
      <c r="R252" s="2" t="s">
        <v>33</v>
      </c>
      <c r="S252" s="2" t="s">
        <v>27</v>
      </c>
      <c r="T252" s="2" t="s">
        <v>34</v>
      </c>
      <c r="U252" s="2" t="s">
        <v>35</v>
      </c>
      <c r="V252" s="2" t="s">
        <v>36</v>
      </c>
      <c r="W252" s="2" t="s">
        <v>37</v>
      </c>
      <c r="X252" s="4" t="s">
        <v>2487</v>
      </c>
      <c r="Y252" s="4" t="s">
        <v>2500</v>
      </c>
      <c r="Z252" t="str">
        <f t="shared" si="18"/>
        <v>9779801462823</v>
      </c>
      <c r="AA252" t="str">
        <f t="shared" si="19"/>
        <v>9801462823</v>
      </c>
      <c r="AB252" t="str">
        <f t="shared" si="20"/>
        <v>9801462823</v>
      </c>
      <c r="AC252" t="str">
        <f t="shared" si="21"/>
        <v>+9779801462823</v>
      </c>
      <c r="AD252" t="str">
        <f t="shared" si="22"/>
        <v>Mobile</v>
      </c>
      <c r="AE252" t="str">
        <f t="shared" si="23"/>
        <v>Valid</v>
      </c>
    </row>
    <row r="253" spans="1:31" x14ac:dyDescent="0.3">
      <c r="A253" s="2" t="s">
        <v>1071</v>
      </c>
      <c r="B253" s="2" t="s">
        <v>1072</v>
      </c>
      <c r="C253" s="2" t="s">
        <v>1073</v>
      </c>
      <c r="D253" s="2" t="s">
        <v>662</v>
      </c>
      <c r="E253" s="2" t="s">
        <v>1073</v>
      </c>
      <c r="F253" s="2" t="s">
        <v>1073</v>
      </c>
      <c r="G253" s="5" t="str" cm="1">
        <f t="array" ref="G253">IFERROR(INDEX(City_Lookup!$B$2:$B$297,MATCH(TRUE,ISNUMBER(SEARCH(City_Lookup!$A$2:$A$297,$F253&amp;" "&amp;$E253)),0)),"Not Available")</f>
        <v>Salyan</v>
      </c>
      <c r="H253" s="5" t="str">
        <f>IFERROR(INDEX(City_Lookup!$E$2:$E$66,MATCH($G253,City_Lookup!$D$2:$D$66,0)),"Not Available")</f>
        <v>Karnali</v>
      </c>
      <c r="I253" s="2" t="s">
        <v>663</v>
      </c>
      <c r="J253" s="2" t="s">
        <v>29</v>
      </c>
      <c r="K253" s="2" t="s">
        <v>250</v>
      </c>
      <c r="L253" s="2"/>
      <c r="M253" s="2" t="s">
        <v>250</v>
      </c>
      <c r="N253" s="2" t="s">
        <v>664</v>
      </c>
      <c r="O253" s="2">
        <v>1</v>
      </c>
      <c r="P253" s="2" t="s">
        <v>27</v>
      </c>
      <c r="Q253" s="2" t="s">
        <v>1076</v>
      </c>
      <c r="R253" s="2" t="s">
        <v>33</v>
      </c>
      <c r="S253" s="2" t="s">
        <v>27</v>
      </c>
      <c r="T253" s="2" t="s">
        <v>34</v>
      </c>
      <c r="U253" s="2" t="s">
        <v>35</v>
      </c>
      <c r="V253" s="2" t="s">
        <v>36</v>
      </c>
      <c r="W253" s="2" t="s">
        <v>37</v>
      </c>
      <c r="X253" s="4" t="s">
        <v>2487</v>
      </c>
      <c r="Y253" s="4" t="s">
        <v>2500</v>
      </c>
      <c r="Z253" t="str">
        <f t="shared" si="18"/>
        <v>9779801462823</v>
      </c>
      <c r="AA253" t="str">
        <f t="shared" si="19"/>
        <v>9801462823</v>
      </c>
      <c r="AB253" t="str">
        <f t="shared" si="20"/>
        <v>9801462823</v>
      </c>
      <c r="AC253" t="str">
        <f t="shared" si="21"/>
        <v>+9779801462823</v>
      </c>
      <c r="AD253" t="str">
        <f t="shared" si="22"/>
        <v>Mobile</v>
      </c>
      <c r="AE253" t="str">
        <f t="shared" si="23"/>
        <v>Valid</v>
      </c>
    </row>
    <row r="254" spans="1:31" x14ac:dyDescent="0.3">
      <c r="A254" s="2" t="s">
        <v>1077</v>
      </c>
      <c r="B254" s="2" t="s">
        <v>1078</v>
      </c>
      <c r="C254" s="2" t="s">
        <v>1079</v>
      </c>
      <c r="D254" s="2" t="s">
        <v>662</v>
      </c>
      <c r="E254" s="2" t="s">
        <v>1079</v>
      </c>
      <c r="F254" s="2" t="s">
        <v>1079</v>
      </c>
      <c r="G254" s="5" t="str" cm="1">
        <f t="array" ref="G254">IFERROR(INDEX(City_Lookup!$B$2:$B$297,MATCH(TRUE,ISNUMBER(SEARCH(City_Lookup!$A$2:$A$297,$F254&amp;" "&amp;$E254)),0)),"Not Available")</f>
        <v>Udayapur</v>
      </c>
      <c r="H254" s="5" t="str">
        <f>IFERROR(INDEX(City_Lookup!$E$2:$E$66,MATCH($G254,City_Lookup!$D$2:$D$66,0)),"Not Available")</f>
        <v>Koshi</v>
      </c>
      <c r="I254" s="2" t="s">
        <v>28</v>
      </c>
      <c r="J254" s="2" t="s">
        <v>29</v>
      </c>
      <c r="K254" s="2" t="s">
        <v>250</v>
      </c>
      <c r="L254" s="2"/>
      <c r="M254" s="2" t="s">
        <v>250</v>
      </c>
      <c r="N254" s="2" t="s">
        <v>681</v>
      </c>
      <c r="O254" s="2">
        <v>1</v>
      </c>
      <c r="P254" s="2" t="s">
        <v>27</v>
      </c>
      <c r="Q254" s="2" t="s">
        <v>1080</v>
      </c>
      <c r="R254" s="2" t="s">
        <v>33</v>
      </c>
      <c r="S254" s="2" t="s">
        <v>27</v>
      </c>
      <c r="T254" s="2" t="s">
        <v>34</v>
      </c>
      <c r="U254" s="2" t="s">
        <v>35</v>
      </c>
      <c r="V254" s="2" t="s">
        <v>36</v>
      </c>
      <c r="W254" s="2" t="s">
        <v>37</v>
      </c>
      <c r="X254" s="4" t="s">
        <v>2487</v>
      </c>
      <c r="Y254" s="4" t="s">
        <v>2500</v>
      </c>
      <c r="Z254" t="str">
        <f t="shared" si="18"/>
        <v>9779801462823</v>
      </c>
      <c r="AA254" t="str">
        <f t="shared" si="19"/>
        <v>9801462823</v>
      </c>
      <c r="AB254" t="str">
        <f t="shared" si="20"/>
        <v>9801462823</v>
      </c>
      <c r="AC254" t="str">
        <f t="shared" si="21"/>
        <v>+9779801462823</v>
      </c>
      <c r="AD254" t="str">
        <f t="shared" si="22"/>
        <v>Mobile</v>
      </c>
      <c r="AE254" t="str">
        <f t="shared" si="23"/>
        <v>Valid</v>
      </c>
    </row>
    <row r="255" spans="1:31" x14ac:dyDescent="0.3">
      <c r="A255" s="2" t="s">
        <v>1081</v>
      </c>
      <c r="B255" s="2" t="s">
        <v>1082</v>
      </c>
      <c r="C255" s="2" t="s">
        <v>1083</v>
      </c>
      <c r="D255" s="2" t="s">
        <v>662</v>
      </c>
      <c r="E255" s="2" t="s">
        <v>1083</v>
      </c>
      <c r="F255" s="2" t="s">
        <v>1083</v>
      </c>
      <c r="G255" s="5" t="str" cm="1">
        <f t="array" ref="G255">IFERROR(INDEX(City_Lookup!$B$2:$B$297,MATCH(TRUE,ISNUMBER(SEARCH(City_Lookup!$A$2:$A$297,$F255&amp;" "&amp;$E255)),0)),"Not Available")</f>
        <v>Rupandehi</v>
      </c>
      <c r="H255" s="5" t="str">
        <f>IFERROR(INDEX(City_Lookup!$E$2:$E$66,MATCH($G255,City_Lookup!$D$2:$D$66,0)),"Not Available")</f>
        <v>Lumbini</v>
      </c>
      <c r="I255" s="2" t="s">
        <v>28</v>
      </c>
      <c r="J255" s="2" t="s">
        <v>29</v>
      </c>
      <c r="K255" s="2" t="s">
        <v>250</v>
      </c>
      <c r="L255" s="2"/>
      <c r="M255" s="2" t="s">
        <v>250</v>
      </c>
      <c r="N255" s="2" t="s">
        <v>681</v>
      </c>
      <c r="O255" s="2">
        <v>1</v>
      </c>
      <c r="P255" s="2" t="s">
        <v>27</v>
      </c>
      <c r="Q255" s="2" t="s">
        <v>1084</v>
      </c>
      <c r="R255" s="2" t="s">
        <v>33</v>
      </c>
      <c r="S255" s="2" t="s">
        <v>27</v>
      </c>
      <c r="T255" s="2" t="s">
        <v>34</v>
      </c>
      <c r="U255" s="2" t="s">
        <v>35</v>
      </c>
      <c r="V255" s="2" t="s">
        <v>36</v>
      </c>
      <c r="W255" s="2" t="s">
        <v>37</v>
      </c>
      <c r="X255" s="4" t="s">
        <v>2487</v>
      </c>
      <c r="Y255" s="4" t="s">
        <v>2500</v>
      </c>
      <c r="Z255" t="str">
        <f t="shared" si="18"/>
        <v>9779801462823</v>
      </c>
      <c r="AA255" t="str">
        <f t="shared" si="19"/>
        <v>9801462823</v>
      </c>
      <c r="AB255" t="str">
        <f t="shared" si="20"/>
        <v>9801462823</v>
      </c>
      <c r="AC255" t="str">
        <f t="shared" si="21"/>
        <v>+9779801462823</v>
      </c>
      <c r="AD255" t="str">
        <f t="shared" si="22"/>
        <v>Mobile</v>
      </c>
      <c r="AE255" t="str">
        <f t="shared" si="23"/>
        <v>Valid</v>
      </c>
    </row>
    <row r="256" spans="1:31" x14ac:dyDescent="0.3">
      <c r="A256" s="2" t="s">
        <v>1085</v>
      </c>
      <c r="B256" s="2" t="s">
        <v>1086</v>
      </c>
      <c r="C256" s="2" t="s">
        <v>1087</v>
      </c>
      <c r="D256" s="2" t="s">
        <v>662</v>
      </c>
      <c r="E256" s="2" t="s">
        <v>1087</v>
      </c>
      <c r="F256" s="2" t="s">
        <v>1087</v>
      </c>
      <c r="G256" s="5" t="str" cm="1">
        <f t="array" ref="G256">IFERROR(INDEX(City_Lookup!$B$2:$B$297,MATCH(TRUE,ISNUMBER(SEARCH(City_Lookup!$A$2:$A$297,$F256&amp;" "&amp;$E256)),0)),"Not Available")</f>
        <v>Khotang</v>
      </c>
      <c r="H256" s="5" t="str">
        <f>IFERROR(INDEX(City_Lookup!$E$2:$E$66,MATCH($G256,City_Lookup!$D$2:$D$66,0)),"Not Available")</f>
        <v>Koshi</v>
      </c>
      <c r="I256" s="2" t="s">
        <v>663</v>
      </c>
      <c r="J256" s="2" t="s">
        <v>29</v>
      </c>
      <c r="K256" s="2" t="s">
        <v>250</v>
      </c>
      <c r="L256" s="2"/>
      <c r="M256" s="2" t="s">
        <v>250</v>
      </c>
      <c r="N256" s="2" t="s">
        <v>664</v>
      </c>
      <c r="O256" s="2">
        <v>1</v>
      </c>
      <c r="P256" s="2" t="s">
        <v>27</v>
      </c>
      <c r="Q256" s="2" t="s">
        <v>1090</v>
      </c>
      <c r="R256" s="2" t="s">
        <v>33</v>
      </c>
      <c r="S256" s="2" t="s">
        <v>27</v>
      </c>
      <c r="T256" s="2" t="s">
        <v>34</v>
      </c>
      <c r="U256" s="2" t="s">
        <v>35</v>
      </c>
      <c r="V256" s="2" t="s">
        <v>36</v>
      </c>
      <c r="W256" s="2" t="s">
        <v>37</v>
      </c>
      <c r="X256" s="4" t="s">
        <v>2487</v>
      </c>
      <c r="Y256" s="4" t="s">
        <v>2500</v>
      </c>
      <c r="Z256" t="str">
        <f t="shared" si="18"/>
        <v>9779801462823</v>
      </c>
      <c r="AA256" t="str">
        <f t="shared" si="19"/>
        <v>9801462823</v>
      </c>
      <c r="AB256" t="str">
        <f t="shared" si="20"/>
        <v>9801462823</v>
      </c>
      <c r="AC256" t="str">
        <f t="shared" si="21"/>
        <v>+9779801462823</v>
      </c>
      <c r="AD256" t="str">
        <f t="shared" si="22"/>
        <v>Mobile</v>
      </c>
      <c r="AE256" t="str">
        <f t="shared" si="23"/>
        <v>Valid</v>
      </c>
    </row>
    <row r="257" spans="1:31" x14ac:dyDescent="0.3">
      <c r="A257" s="2" t="s">
        <v>1091</v>
      </c>
      <c r="B257" s="2" t="s">
        <v>1092</v>
      </c>
      <c r="C257" s="2" t="s">
        <v>1093</v>
      </c>
      <c r="D257" s="2" t="s">
        <v>662</v>
      </c>
      <c r="E257" s="2" t="s">
        <v>1093</v>
      </c>
      <c r="F257" s="2" t="s">
        <v>1093</v>
      </c>
      <c r="G257" s="5" t="str" cm="1">
        <f t="array" ref="G257">IFERROR(INDEX(City_Lookup!$B$2:$B$297,MATCH(TRUE,ISNUMBER(SEARCH(City_Lookup!$A$2:$A$297,$F257&amp;" "&amp;$E257)),0)),"Not Available")</f>
        <v>Bardiya</v>
      </c>
      <c r="H257" s="5" t="str">
        <f>IFERROR(INDEX(City_Lookup!$E$2:$E$66,MATCH($G257,City_Lookup!$D$2:$D$66,0)),"Not Available")</f>
        <v>Lumbini</v>
      </c>
      <c r="I257" s="2" t="s">
        <v>663</v>
      </c>
      <c r="J257" s="2" t="s">
        <v>29</v>
      </c>
      <c r="K257" s="2" t="s">
        <v>250</v>
      </c>
      <c r="L257" s="2"/>
      <c r="M257" s="2" t="s">
        <v>250</v>
      </c>
      <c r="N257" s="2" t="s">
        <v>664</v>
      </c>
      <c r="O257" s="2">
        <v>1</v>
      </c>
      <c r="P257" s="2" t="s">
        <v>27</v>
      </c>
      <c r="Q257" s="2" t="s">
        <v>1096</v>
      </c>
      <c r="R257" s="2" t="s">
        <v>33</v>
      </c>
      <c r="S257" s="2" t="s">
        <v>27</v>
      </c>
      <c r="T257" s="2" t="s">
        <v>34</v>
      </c>
      <c r="U257" s="2" t="s">
        <v>35</v>
      </c>
      <c r="V257" s="2" t="s">
        <v>36</v>
      </c>
      <c r="W257" s="2" t="s">
        <v>37</v>
      </c>
      <c r="X257" s="4" t="s">
        <v>2487</v>
      </c>
      <c r="Y257" s="4" t="s">
        <v>2500</v>
      </c>
      <c r="Z257" t="str">
        <f t="shared" si="18"/>
        <v>9779801462823</v>
      </c>
      <c r="AA257" t="str">
        <f t="shared" si="19"/>
        <v>9801462823</v>
      </c>
      <c r="AB257" t="str">
        <f t="shared" si="20"/>
        <v>9801462823</v>
      </c>
      <c r="AC257" t="str">
        <f t="shared" si="21"/>
        <v>+9779801462823</v>
      </c>
      <c r="AD257" t="str">
        <f t="shared" si="22"/>
        <v>Mobile</v>
      </c>
      <c r="AE257" t="str">
        <f t="shared" si="23"/>
        <v>Valid</v>
      </c>
    </row>
    <row r="258" spans="1:31" x14ac:dyDescent="0.3">
      <c r="A258" s="2" t="s">
        <v>1097</v>
      </c>
      <c r="B258" s="2" t="s">
        <v>1098</v>
      </c>
      <c r="C258" s="2" t="s">
        <v>1099</v>
      </c>
      <c r="D258" s="2" t="s">
        <v>662</v>
      </c>
      <c r="E258" s="2" t="s">
        <v>1099</v>
      </c>
      <c r="F258" s="2" t="s">
        <v>1099</v>
      </c>
      <c r="G258" s="5" t="str" cm="1">
        <f t="array" ref="G258">IFERROR(INDEX(City_Lookup!$B$2:$B$297,MATCH(TRUE,ISNUMBER(SEARCH(City_Lookup!$A$2:$A$297,$F258&amp;" "&amp;$E258)),0)),"Not Available")</f>
        <v>Bardiya</v>
      </c>
      <c r="H258" s="5" t="str">
        <f>IFERROR(INDEX(City_Lookup!$E$2:$E$66,MATCH($G258,City_Lookup!$D$2:$D$66,0)),"Not Available")</f>
        <v>Lumbini</v>
      </c>
      <c r="I258" s="2" t="s">
        <v>663</v>
      </c>
      <c r="J258" s="2" t="s">
        <v>29</v>
      </c>
      <c r="K258" s="2" t="s">
        <v>250</v>
      </c>
      <c r="L258" s="2"/>
      <c r="M258" s="2" t="s">
        <v>250</v>
      </c>
      <c r="N258" s="2" t="s">
        <v>664</v>
      </c>
      <c r="O258" s="2">
        <v>1</v>
      </c>
      <c r="P258" s="2" t="s">
        <v>27</v>
      </c>
      <c r="Q258" s="2" t="s">
        <v>1101</v>
      </c>
      <c r="R258" s="2" t="s">
        <v>33</v>
      </c>
      <c r="S258" s="2" t="s">
        <v>27</v>
      </c>
      <c r="T258" s="2" t="s">
        <v>34</v>
      </c>
      <c r="U258" s="2" t="s">
        <v>35</v>
      </c>
      <c r="V258" s="2" t="s">
        <v>36</v>
      </c>
      <c r="W258" s="2" t="s">
        <v>37</v>
      </c>
      <c r="X258" s="4" t="s">
        <v>2487</v>
      </c>
      <c r="Y258" s="4" t="s">
        <v>2500</v>
      </c>
      <c r="Z258" t="str">
        <f t="shared" si="18"/>
        <v>9779801462823</v>
      </c>
      <c r="AA258" t="str">
        <f t="shared" si="19"/>
        <v>9801462823</v>
      </c>
      <c r="AB258" t="str">
        <f t="shared" si="20"/>
        <v>9801462823</v>
      </c>
      <c r="AC258" t="str">
        <f t="shared" si="21"/>
        <v>+9779801462823</v>
      </c>
      <c r="AD258" t="str">
        <f t="shared" si="22"/>
        <v>Mobile</v>
      </c>
      <c r="AE258" t="str">
        <f t="shared" si="23"/>
        <v>Valid</v>
      </c>
    </row>
    <row r="259" spans="1:31" x14ac:dyDescent="0.3">
      <c r="A259" s="2" t="s">
        <v>1102</v>
      </c>
      <c r="B259" s="2" t="s">
        <v>1103</v>
      </c>
      <c r="C259" s="2" t="s">
        <v>1104</v>
      </c>
      <c r="D259" s="2" t="s">
        <v>662</v>
      </c>
      <c r="E259" s="2" t="s">
        <v>1104</v>
      </c>
      <c r="F259" s="2" t="s">
        <v>1104</v>
      </c>
      <c r="G259" s="5" t="str" cm="1">
        <f t="array" ref="G259">IFERROR(INDEX(City_Lookup!$B$2:$B$297,MATCH(TRUE,ISNUMBER(SEARCH(City_Lookup!$A$2:$A$297,$F259&amp;" "&amp;$E259)),0)),"Not Available")</f>
        <v>Pyuthan</v>
      </c>
      <c r="H259" s="5" t="str">
        <f>IFERROR(INDEX(City_Lookup!$E$2:$E$66,MATCH($G259,City_Lookup!$D$2:$D$66,0)),"Not Available")</f>
        <v>Lumbini</v>
      </c>
      <c r="I259" s="2" t="s">
        <v>663</v>
      </c>
      <c r="J259" s="2" t="s">
        <v>29</v>
      </c>
      <c r="K259" s="2" t="s">
        <v>250</v>
      </c>
      <c r="L259" s="2"/>
      <c r="M259" s="2" t="s">
        <v>250</v>
      </c>
      <c r="N259" s="2" t="s">
        <v>664</v>
      </c>
      <c r="O259" s="2">
        <v>1</v>
      </c>
      <c r="P259" s="2" t="s">
        <v>27</v>
      </c>
      <c r="Q259" s="2" t="s">
        <v>1106</v>
      </c>
      <c r="R259" s="2" t="s">
        <v>33</v>
      </c>
      <c r="S259" s="2" t="s">
        <v>27</v>
      </c>
      <c r="T259" s="2" t="s">
        <v>34</v>
      </c>
      <c r="U259" s="2" t="s">
        <v>35</v>
      </c>
      <c r="V259" s="2" t="s">
        <v>36</v>
      </c>
      <c r="W259" s="2" t="s">
        <v>37</v>
      </c>
      <c r="X259" s="4" t="s">
        <v>2487</v>
      </c>
      <c r="Y259" s="4" t="s">
        <v>2500</v>
      </c>
      <c r="Z259" t="str">
        <f t="shared" ref="Z259:Z322" si="24">IF($X259="Not Available","",TRIM(LEFT(SUBSTITUTE(SUBSTITUTE(SUBSTITUTE(SUBSTITUTE(SUBSTITUTE(SUBSTITUTE(SUBSTITUTE($X259," ",""),"-",""),"(",""),")",""),".",""),"+","")&amp;"/","/",REPT(" ",60)),60)))</f>
        <v>9779801462823</v>
      </c>
      <c r="AA259" t="str">
        <f t="shared" ref="AA259:AA322" si="25">IF($Z259="","",IF(ISNUMBER(-$Z259),IF(LEFT($Z259,3)="977",MID($Z259,4,20),$Z259),IF(ISNUMBER(SEARCH("977",$Z259)),MID($Z259,SEARCH("977",$Z259)+3,20),$Z259)))</f>
        <v>9801462823</v>
      </c>
      <c r="AB259" t="str">
        <f t="shared" ref="AB259:AB322" si="26">IF($AA259="","",IF(LEFT($AA259,1)="0",MID($AA259,2,20),$AA259))</f>
        <v>9801462823</v>
      </c>
      <c r="AC259" t="str">
        <f t="shared" ref="AC259:AC322" si="27">IF($AB259="","Not Available","+977"&amp;$AB259)</f>
        <v>+9779801462823</v>
      </c>
      <c r="AD259" t="str">
        <f t="shared" ref="AD259:AD322" si="28">IF($AB259="","Not Available",IF(AND(LEN($AB259)=10,LEFT($AB259,1)="9"),"Mobile",IF(AND(LEN($AB259)&gt;=8,LEN($AB259)&lt;=9),IF(ISNUMBER(SEARCH("/",$X259)),"Landline (multiple lines)","Landline"),"Unrecognised")))</f>
        <v>Mobile</v>
      </c>
      <c r="AE259" t="str">
        <f t="shared" ref="AE259:AE322" si="29">IF($AB259="","Not Available",IF(AND(ISNUMBER(-$AB259),$AD259&lt;&gt;"Unrecognised"),"Valid","Check format"))</f>
        <v>Valid</v>
      </c>
    </row>
    <row r="260" spans="1:31" x14ac:dyDescent="0.3">
      <c r="A260" s="2" t="s">
        <v>1107</v>
      </c>
      <c r="B260" s="2" t="s">
        <v>1108</v>
      </c>
      <c r="C260" s="2" t="s">
        <v>1109</v>
      </c>
      <c r="D260" s="2" t="s">
        <v>662</v>
      </c>
      <c r="E260" s="2" t="s">
        <v>1109</v>
      </c>
      <c r="F260" s="2" t="s">
        <v>1109</v>
      </c>
      <c r="G260" s="5" t="str" cm="1">
        <f t="array" ref="G260">IFERROR(INDEX(City_Lookup!$B$2:$B$297,MATCH(TRUE,ISNUMBER(SEARCH(City_Lookup!$A$2:$A$297,$F260&amp;" "&amp;$E260)),0)),"Not Available")</f>
        <v>Dang</v>
      </c>
      <c r="H260" s="5" t="str">
        <f>IFERROR(INDEX(City_Lookup!$E$2:$E$66,MATCH($G260,City_Lookup!$D$2:$D$66,0)),"Not Available")</f>
        <v>Lumbini</v>
      </c>
      <c r="I260" s="2" t="s">
        <v>663</v>
      </c>
      <c r="J260" s="2" t="s">
        <v>29</v>
      </c>
      <c r="K260" s="2" t="s">
        <v>250</v>
      </c>
      <c r="L260" s="2"/>
      <c r="M260" s="2" t="s">
        <v>250</v>
      </c>
      <c r="N260" s="2" t="s">
        <v>664</v>
      </c>
      <c r="O260" s="2">
        <v>1</v>
      </c>
      <c r="P260" s="2" t="s">
        <v>27</v>
      </c>
      <c r="Q260" s="2" t="s">
        <v>1111</v>
      </c>
      <c r="R260" s="2" t="s">
        <v>33</v>
      </c>
      <c r="S260" s="2" t="s">
        <v>27</v>
      </c>
      <c r="T260" s="2" t="s">
        <v>34</v>
      </c>
      <c r="U260" s="2" t="s">
        <v>35</v>
      </c>
      <c r="V260" s="2" t="s">
        <v>36</v>
      </c>
      <c r="W260" s="2" t="s">
        <v>37</v>
      </c>
      <c r="X260" s="4" t="s">
        <v>2487</v>
      </c>
      <c r="Y260" s="4" t="s">
        <v>2500</v>
      </c>
      <c r="Z260" t="str">
        <f t="shared" si="24"/>
        <v>9779801462823</v>
      </c>
      <c r="AA260" t="str">
        <f t="shared" si="25"/>
        <v>9801462823</v>
      </c>
      <c r="AB260" t="str">
        <f t="shared" si="26"/>
        <v>9801462823</v>
      </c>
      <c r="AC260" t="str">
        <f t="shared" si="27"/>
        <v>+9779801462823</v>
      </c>
      <c r="AD260" t="str">
        <f t="shared" si="28"/>
        <v>Mobile</v>
      </c>
      <c r="AE260" t="str">
        <f t="shared" si="29"/>
        <v>Valid</v>
      </c>
    </row>
    <row r="261" spans="1:31" x14ac:dyDescent="0.3">
      <c r="A261" s="2" t="s">
        <v>1112</v>
      </c>
      <c r="B261" s="2" t="s">
        <v>1113</v>
      </c>
      <c r="C261" s="2" t="s">
        <v>1114</v>
      </c>
      <c r="D261" s="2" t="s">
        <v>662</v>
      </c>
      <c r="E261" s="2" t="s">
        <v>1114</v>
      </c>
      <c r="F261" s="2" t="s">
        <v>1114</v>
      </c>
      <c r="G261" s="5" t="str" cm="1">
        <f t="array" ref="G261">IFERROR(INDEX(City_Lookup!$B$2:$B$297,MATCH(TRUE,ISNUMBER(SEARCH(City_Lookup!$A$2:$A$297,$F261&amp;" "&amp;$E261)),0)),"Not Available")</f>
        <v>Rupandehi</v>
      </c>
      <c r="H261" s="5" t="str">
        <f>IFERROR(INDEX(City_Lookup!$E$2:$E$66,MATCH($G261,City_Lookup!$D$2:$D$66,0)),"Not Available")</f>
        <v>Lumbini</v>
      </c>
      <c r="I261" s="2" t="s">
        <v>663</v>
      </c>
      <c r="J261" s="2" t="s">
        <v>29</v>
      </c>
      <c r="K261" s="2" t="s">
        <v>250</v>
      </c>
      <c r="L261" s="2"/>
      <c r="M261" s="2" t="s">
        <v>250</v>
      </c>
      <c r="N261" s="2" t="s">
        <v>664</v>
      </c>
      <c r="O261" s="2">
        <v>1</v>
      </c>
      <c r="P261" s="2" t="s">
        <v>27</v>
      </c>
      <c r="Q261" s="2" t="s">
        <v>1116</v>
      </c>
      <c r="R261" s="2" t="s">
        <v>33</v>
      </c>
      <c r="S261" s="2" t="s">
        <v>27</v>
      </c>
      <c r="T261" s="2" t="s">
        <v>34</v>
      </c>
      <c r="U261" s="2" t="s">
        <v>35</v>
      </c>
      <c r="V261" s="2" t="s">
        <v>36</v>
      </c>
      <c r="W261" s="2" t="s">
        <v>37</v>
      </c>
      <c r="X261" s="4" t="s">
        <v>2487</v>
      </c>
      <c r="Y261" s="4" t="s">
        <v>2500</v>
      </c>
      <c r="Z261" t="str">
        <f t="shared" si="24"/>
        <v>9779801462823</v>
      </c>
      <c r="AA261" t="str">
        <f t="shared" si="25"/>
        <v>9801462823</v>
      </c>
      <c r="AB261" t="str">
        <f t="shared" si="26"/>
        <v>9801462823</v>
      </c>
      <c r="AC261" t="str">
        <f t="shared" si="27"/>
        <v>+9779801462823</v>
      </c>
      <c r="AD261" t="str">
        <f t="shared" si="28"/>
        <v>Mobile</v>
      </c>
      <c r="AE261" t="str">
        <f t="shared" si="29"/>
        <v>Valid</v>
      </c>
    </row>
    <row r="262" spans="1:31" x14ac:dyDescent="0.3">
      <c r="A262" s="2" t="s">
        <v>1117</v>
      </c>
      <c r="B262" s="2" t="s">
        <v>1118</v>
      </c>
      <c r="C262" s="2" t="s">
        <v>1119</v>
      </c>
      <c r="D262" s="2" t="s">
        <v>662</v>
      </c>
      <c r="E262" s="2" t="s">
        <v>1119</v>
      </c>
      <c r="F262" s="2" t="s">
        <v>1119</v>
      </c>
      <c r="G262" s="5" t="str" cm="1">
        <f t="array" ref="G262">IFERROR(INDEX(City_Lookup!$B$2:$B$297,MATCH(TRUE,ISNUMBER(SEARCH(City_Lookup!$A$2:$A$297,$F262&amp;" "&amp;$E262)),0)),"Not Available")</f>
        <v>Rautahat</v>
      </c>
      <c r="H262" s="5" t="str">
        <f>IFERROR(INDEX(City_Lookup!$E$2:$E$66,MATCH($G262,City_Lookup!$D$2:$D$66,0)),"Not Available")</f>
        <v>Madhesh</v>
      </c>
      <c r="I262" s="2" t="s">
        <v>28</v>
      </c>
      <c r="J262" s="2" t="s">
        <v>29</v>
      </c>
      <c r="K262" s="2" t="s">
        <v>250</v>
      </c>
      <c r="L262" s="2"/>
      <c r="M262" s="2" t="s">
        <v>250</v>
      </c>
      <c r="N262" s="2" t="s">
        <v>681</v>
      </c>
      <c r="O262" s="2">
        <v>1</v>
      </c>
      <c r="P262" s="2" t="s">
        <v>27</v>
      </c>
      <c r="Q262" s="2" t="s">
        <v>1122</v>
      </c>
      <c r="R262" s="2" t="s">
        <v>33</v>
      </c>
      <c r="S262" s="2" t="s">
        <v>27</v>
      </c>
      <c r="T262" s="2" t="s">
        <v>34</v>
      </c>
      <c r="U262" s="2" t="s">
        <v>35</v>
      </c>
      <c r="V262" s="2" t="s">
        <v>36</v>
      </c>
      <c r="W262" s="2" t="s">
        <v>37</v>
      </c>
      <c r="X262" s="4" t="s">
        <v>2487</v>
      </c>
      <c r="Y262" s="4" t="s">
        <v>2500</v>
      </c>
      <c r="Z262" t="str">
        <f t="shared" si="24"/>
        <v>9779801462823</v>
      </c>
      <c r="AA262" t="str">
        <f t="shared" si="25"/>
        <v>9801462823</v>
      </c>
      <c r="AB262" t="str">
        <f t="shared" si="26"/>
        <v>9801462823</v>
      </c>
      <c r="AC262" t="str">
        <f t="shared" si="27"/>
        <v>+9779801462823</v>
      </c>
      <c r="AD262" t="str">
        <f t="shared" si="28"/>
        <v>Mobile</v>
      </c>
      <c r="AE262" t="str">
        <f t="shared" si="29"/>
        <v>Valid</v>
      </c>
    </row>
    <row r="263" spans="1:31" x14ac:dyDescent="0.3">
      <c r="A263" s="2" t="s">
        <v>1123</v>
      </c>
      <c r="B263" s="2" t="s">
        <v>1124</v>
      </c>
      <c r="C263" s="2" t="s">
        <v>1125</v>
      </c>
      <c r="D263" s="2" t="s">
        <v>662</v>
      </c>
      <c r="E263" s="2" t="s">
        <v>1125</v>
      </c>
      <c r="F263" s="2" t="s">
        <v>1125</v>
      </c>
      <c r="G263" s="5" t="str" cm="1">
        <f t="array" ref="G263">IFERROR(INDEX(City_Lookup!$B$2:$B$297,MATCH(TRUE,ISNUMBER(SEARCH(City_Lookup!$A$2:$A$297,$F263&amp;" "&amp;$E263)),0)),"Not Available")</f>
        <v>Saptari</v>
      </c>
      <c r="H263" s="5" t="str">
        <f>IFERROR(INDEX(City_Lookup!$E$2:$E$66,MATCH($G263,City_Lookup!$D$2:$D$66,0)),"Not Available")</f>
        <v>Madhesh</v>
      </c>
      <c r="I263" s="2" t="s">
        <v>663</v>
      </c>
      <c r="J263" s="2" t="s">
        <v>29</v>
      </c>
      <c r="K263" s="2" t="s">
        <v>250</v>
      </c>
      <c r="L263" s="2"/>
      <c r="M263" s="2" t="s">
        <v>250</v>
      </c>
      <c r="N263" s="2" t="s">
        <v>664</v>
      </c>
      <c r="O263" s="2">
        <v>1</v>
      </c>
      <c r="P263" s="2" t="s">
        <v>27</v>
      </c>
      <c r="Q263" s="2" t="s">
        <v>1127</v>
      </c>
      <c r="R263" s="2" t="s">
        <v>33</v>
      </c>
      <c r="S263" s="2" t="s">
        <v>27</v>
      </c>
      <c r="T263" s="2" t="s">
        <v>34</v>
      </c>
      <c r="U263" s="2" t="s">
        <v>35</v>
      </c>
      <c r="V263" s="2" t="s">
        <v>36</v>
      </c>
      <c r="W263" s="2" t="s">
        <v>37</v>
      </c>
      <c r="X263" s="4" t="s">
        <v>2487</v>
      </c>
      <c r="Y263" s="4" t="s">
        <v>2500</v>
      </c>
      <c r="Z263" t="str">
        <f t="shared" si="24"/>
        <v>9779801462823</v>
      </c>
      <c r="AA263" t="str">
        <f t="shared" si="25"/>
        <v>9801462823</v>
      </c>
      <c r="AB263" t="str">
        <f t="shared" si="26"/>
        <v>9801462823</v>
      </c>
      <c r="AC263" t="str">
        <f t="shared" si="27"/>
        <v>+9779801462823</v>
      </c>
      <c r="AD263" t="str">
        <f t="shared" si="28"/>
        <v>Mobile</v>
      </c>
      <c r="AE263" t="str">
        <f t="shared" si="29"/>
        <v>Valid</v>
      </c>
    </row>
    <row r="264" spans="1:31" x14ac:dyDescent="0.3">
      <c r="A264" s="2" t="s">
        <v>1128</v>
      </c>
      <c r="B264" s="2" t="s">
        <v>1129</v>
      </c>
      <c r="C264" s="2" t="s">
        <v>1130</v>
      </c>
      <c r="D264" s="2" t="s">
        <v>662</v>
      </c>
      <c r="E264" s="2" t="s">
        <v>1130</v>
      </c>
      <c r="F264" s="2" t="s">
        <v>1130</v>
      </c>
      <c r="G264" s="5" t="str" cm="1">
        <f t="array" ref="G264">IFERROR(INDEX(City_Lookup!$B$2:$B$297,MATCH(TRUE,ISNUMBER(SEARCH(City_Lookup!$A$2:$A$297,$F264&amp;" "&amp;$E264)),0)),"Not Available")</f>
        <v>Dhading</v>
      </c>
      <c r="H264" s="5" t="str">
        <f>IFERROR(INDEX(City_Lookup!$E$2:$E$66,MATCH($G264,City_Lookup!$D$2:$D$66,0)),"Not Available")</f>
        <v>Bagmati</v>
      </c>
      <c r="I264" s="2" t="s">
        <v>663</v>
      </c>
      <c r="J264" s="2" t="s">
        <v>29</v>
      </c>
      <c r="K264" s="2" t="s">
        <v>250</v>
      </c>
      <c r="L264" s="2"/>
      <c r="M264" s="2" t="s">
        <v>250</v>
      </c>
      <c r="N264" s="2" t="s">
        <v>664</v>
      </c>
      <c r="O264" s="2">
        <v>1</v>
      </c>
      <c r="P264" s="2" t="s">
        <v>971</v>
      </c>
      <c r="Q264" s="2" t="s">
        <v>1131</v>
      </c>
      <c r="R264" s="2" t="s">
        <v>33</v>
      </c>
      <c r="S264" s="2" t="s">
        <v>27</v>
      </c>
      <c r="T264" s="2" t="s">
        <v>34</v>
      </c>
      <c r="U264" s="2" t="s">
        <v>35</v>
      </c>
      <c r="V264" s="2" t="s">
        <v>36</v>
      </c>
      <c r="W264" s="2" t="s">
        <v>37</v>
      </c>
      <c r="X264" s="4" t="s">
        <v>971</v>
      </c>
      <c r="Y264" s="4" t="s">
        <v>2501</v>
      </c>
      <c r="Z264" t="str">
        <f t="shared" si="24"/>
        <v>9779851129081</v>
      </c>
      <c r="AA264" t="str">
        <f t="shared" si="25"/>
        <v>9851129081</v>
      </c>
      <c r="AB264" t="str">
        <f t="shared" si="26"/>
        <v>9851129081</v>
      </c>
      <c r="AC264" t="str">
        <f t="shared" si="27"/>
        <v>+9779851129081</v>
      </c>
      <c r="AD264" t="str">
        <f t="shared" si="28"/>
        <v>Mobile</v>
      </c>
      <c r="AE264" t="str">
        <f t="shared" si="29"/>
        <v>Valid</v>
      </c>
    </row>
    <row r="265" spans="1:31" x14ac:dyDescent="0.3">
      <c r="A265" s="2" t="s">
        <v>1132</v>
      </c>
      <c r="B265" s="2" t="s">
        <v>1133</v>
      </c>
      <c r="C265" s="2" t="s">
        <v>1134</v>
      </c>
      <c r="D265" s="2" t="s">
        <v>662</v>
      </c>
      <c r="E265" s="2" t="s">
        <v>1134</v>
      </c>
      <c r="F265" s="2" t="s">
        <v>1134</v>
      </c>
      <c r="G265" s="5" t="str" cm="1">
        <f t="array" ref="G265">IFERROR(INDEX(City_Lookup!$B$2:$B$297,MATCH(TRUE,ISNUMBER(SEARCH(City_Lookup!$A$2:$A$297,$F265&amp;" "&amp;$E265)),0)),"Not Available")</f>
        <v>Kathmandu</v>
      </c>
      <c r="H265" s="5" t="str">
        <f>IFERROR(INDEX(City_Lookup!$E$2:$E$66,MATCH($G265,City_Lookup!$D$2:$D$66,0)),"Not Available")</f>
        <v>Bagmati</v>
      </c>
      <c r="I265" s="2" t="s">
        <v>663</v>
      </c>
      <c r="J265" s="2" t="s">
        <v>29</v>
      </c>
      <c r="K265" s="2" t="s">
        <v>250</v>
      </c>
      <c r="L265" s="2"/>
      <c r="M265" s="2" t="s">
        <v>250</v>
      </c>
      <c r="N265" s="2" t="s">
        <v>664</v>
      </c>
      <c r="O265" s="2">
        <v>1</v>
      </c>
      <c r="P265" s="2" t="s">
        <v>27</v>
      </c>
      <c r="Q265" s="2" t="s">
        <v>1136</v>
      </c>
      <c r="R265" s="2" t="s">
        <v>33</v>
      </c>
      <c r="S265" s="2" t="s">
        <v>27</v>
      </c>
      <c r="T265" s="2" t="s">
        <v>34</v>
      </c>
      <c r="U265" s="2" t="s">
        <v>35</v>
      </c>
      <c r="V265" s="2" t="s">
        <v>36</v>
      </c>
      <c r="W265" s="2" t="s">
        <v>37</v>
      </c>
      <c r="X265" s="4" t="s">
        <v>2487</v>
      </c>
      <c r="Y265" s="4" t="s">
        <v>2500</v>
      </c>
      <c r="Z265" t="str">
        <f t="shared" si="24"/>
        <v>9779801462823</v>
      </c>
      <c r="AA265" t="str">
        <f t="shared" si="25"/>
        <v>9801462823</v>
      </c>
      <c r="AB265" t="str">
        <f t="shared" si="26"/>
        <v>9801462823</v>
      </c>
      <c r="AC265" t="str">
        <f t="shared" si="27"/>
        <v>+9779801462823</v>
      </c>
      <c r="AD265" t="str">
        <f t="shared" si="28"/>
        <v>Mobile</v>
      </c>
      <c r="AE265" t="str">
        <f t="shared" si="29"/>
        <v>Valid</v>
      </c>
    </row>
    <row r="266" spans="1:31" x14ac:dyDescent="0.3">
      <c r="A266" s="2" t="s">
        <v>1137</v>
      </c>
      <c r="B266" s="2" t="s">
        <v>1138</v>
      </c>
      <c r="C266" s="2" t="s">
        <v>1139</v>
      </c>
      <c r="D266" s="2" t="s">
        <v>662</v>
      </c>
      <c r="E266" s="2" t="s">
        <v>1139</v>
      </c>
      <c r="F266" s="2" t="s">
        <v>1139</v>
      </c>
      <c r="G266" s="5" t="str" cm="1">
        <f t="array" ref="G266">IFERROR(INDEX(City_Lookup!$B$2:$B$297,MATCH(TRUE,ISNUMBER(SEARCH(City_Lookup!$A$2:$A$297,$F266&amp;" "&amp;$E266)),0)),"Not Available")</f>
        <v>Sindhupalchok</v>
      </c>
      <c r="H266" s="5" t="str">
        <f>IFERROR(INDEX(City_Lookup!$E$2:$E$66,MATCH($G266,City_Lookup!$D$2:$D$66,0)),"Not Available")</f>
        <v>Bagmati</v>
      </c>
      <c r="I266" s="2" t="s">
        <v>663</v>
      </c>
      <c r="J266" s="2" t="s">
        <v>29</v>
      </c>
      <c r="K266" s="2" t="s">
        <v>250</v>
      </c>
      <c r="L266" s="2"/>
      <c r="M266" s="2" t="s">
        <v>250</v>
      </c>
      <c r="N266" s="2" t="s">
        <v>664</v>
      </c>
      <c r="O266" s="2">
        <v>1</v>
      </c>
      <c r="P266" s="2" t="s">
        <v>27</v>
      </c>
      <c r="Q266" s="2" t="s">
        <v>1140</v>
      </c>
      <c r="R266" s="2" t="s">
        <v>33</v>
      </c>
      <c r="S266" s="2" t="s">
        <v>27</v>
      </c>
      <c r="T266" s="2" t="s">
        <v>34</v>
      </c>
      <c r="U266" s="2" t="s">
        <v>35</v>
      </c>
      <c r="V266" s="2" t="s">
        <v>36</v>
      </c>
      <c r="W266" s="2" t="s">
        <v>37</v>
      </c>
      <c r="X266" s="4" t="s">
        <v>2487</v>
      </c>
      <c r="Y266" s="4" t="s">
        <v>2500</v>
      </c>
      <c r="Z266" t="str">
        <f t="shared" si="24"/>
        <v>9779801462823</v>
      </c>
      <c r="AA266" t="str">
        <f t="shared" si="25"/>
        <v>9801462823</v>
      </c>
      <c r="AB266" t="str">
        <f t="shared" si="26"/>
        <v>9801462823</v>
      </c>
      <c r="AC266" t="str">
        <f t="shared" si="27"/>
        <v>+9779801462823</v>
      </c>
      <c r="AD266" t="str">
        <f t="shared" si="28"/>
        <v>Mobile</v>
      </c>
      <c r="AE266" t="str">
        <f t="shared" si="29"/>
        <v>Valid</v>
      </c>
    </row>
    <row r="267" spans="1:31" x14ac:dyDescent="0.3">
      <c r="A267" s="2" t="s">
        <v>1141</v>
      </c>
      <c r="B267" s="2" t="s">
        <v>1142</v>
      </c>
      <c r="C267" s="2" t="s">
        <v>1143</v>
      </c>
      <c r="D267" s="2" t="s">
        <v>662</v>
      </c>
      <c r="E267" s="2" t="s">
        <v>1143</v>
      </c>
      <c r="F267" s="2" t="s">
        <v>1143</v>
      </c>
      <c r="G267" s="5" t="str" cm="1">
        <f t="array" ref="G267">IFERROR(INDEX(City_Lookup!$B$2:$B$297,MATCH(TRUE,ISNUMBER(SEARCH(City_Lookup!$A$2:$A$297,$F267&amp;" "&amp;$E267)),0)),"Not Available")</f>
        <v>Sindhuli</v>
      </c>
      <c r="H267" s="5" t="str">
        <f>IFERROR(INDEX(City_Lookup!$E$2:$E$66,MATCH($G267,City_Lookup!$D$2:$D$66,0)),"Not Available")</f>
        <v>Bagmati</v>
      </c>
      <c r="I267" s="2" t="s">
        <v>663</v>
      </c>
      <c r="J267" s="2" t="s">
        <v>29</v>
      </c>
      <c r="K267" s="2" t="s">
        <v>250</v>
      </c>
      <c r="L267" s="2"/>
      <c r="M267" s="2" t="s">
        <v>250</v>
      </c>
      <c r="N267" s="2" t="s">
        <v>664</v>
      </c>
      <c r="O267" s="2">
        <v>1</v>
      </c>
      <c r="P267" s="2" t="s">
        <v>27</v>
      </c>
      <c r="Q267" s="2" t="s">
        <v>1144</v>
      </c>
      <c r="R267" s="2" t="s">
        <v>33</v>
      </c>
      <c r="S267" s="2" t="s">
        <v>27</v>
      </c>
      <c r="T267" s="2" t="s">
        <v>34</v>
      </c>
      <c r="U267" s="2" t="s">
        <v>35</v>
      </c>
      <c r="V267" s="2" t="s">
        <v>36</v>
      </c>
      <c r="W267" s="2" t="s">
        <v>37</v>
      </c>
      <c r="X267" s="4" t="s">
        <v>2487</v>
      </c>
      <c r="Y267" s="4" t="s">
        <v>2500</v>
      </c>
      <c r="Z267" t="str">
        <f t="shared" si="24"/>
        <v>9779801462823</v>
      </c>
      <c r="AA267" t="str">
        <f t="shared" si="25"/>
        <v>9801462823</v>
      </c>
      <c r="AB267" t="str">
        <f t="shared" si="26"/>
        <v>9801462823</v>
      </c>
      <c r="AC267" t="str">
        <f t="shared" si="27"/>
        <v>+9779801462823</v>
      </c>
      <c r="AD267" t="str">
        <f t="shared" si="28"/>
        <v>Mobile</v>
      </c>
      <c r="AE267" t="str">
        <f t="shared" si="29"/>
        <v>Valid</v>
      </c>
    </row>
    <row r="268" spans="1:31" x14ac:dyDescent="0.3">
      <c r="A268" s="2" t="s">
        <v>1145</v>
      </c>
      <c r="B268" s="2" t="s">
        <v>1146</v>
      </c>
      <c r="C268" s="2" t="s">
        <v>137</v>
      </c>
      <c r="D268" s="2" t="s">
        <v>662</v>
      </c>
      <c r="E268" s="2" t="s">
        <v>137</v>
      </c>
      <c r="F268" s="2" t="s">
        <v>137</v>
      </c>
      <c r="G268" s="5" t="str" cm="1">
        <f t="array" ref="G268">IFERROR(INDEX(City_Lookup!$B$2:$B$297,MATCH(TRUE,ISNUMBER(SEARCH(City_Lookup!$A$2:$A$297,$F268&amp;" "&amp;$E268)),0)),"Not Available")</f>
        <v>Surkhet</v>
      </c>
      <c r="H268" s="5" t="str">
        <f>IFERROR(INDEX(City_Lookup!$E$2:$E$66,MATCH($G268,City_Lookup!$D$2:$D$66,0)),"Not Available")</f>
        <v>Karnali</v>
      </c>
      <c r="I268" s="2" t="s">
        <v>663</v>
      </c>
      <c r="J268" s="2" t="s">
        <v>29</v>
      </c>
      <c r="K268" s="2" t="s">
        <v>250</v>
      </c>
      <c r="L268" s="2"/>
      <c r="M268" s="2" t="s">
        <v>250</v>
      </c>
      <c r="N268" s="2" t="s">
        <v>664</v>
      </c>
      <c r="O268" s="2">
        <v>1</v>
      </c>
      <c r="P268" s="2" t="s">
        <v>1147</v>
      </c>
      <c r="Q268" s="2" t="s">
        <v>1148</v>
      </c>
      <c r="R268" s="2" t="s">
        <v>33</v>
      </c>
      <c r="S268" s="2" t="s">
        <v>27</v>
      </c>
      <c r="T268" s="2" t="s">
        <v>34</v>
      </c>
      <c r="U268" s="2" t="s">
        <v>35</v>
      </c>
      <c r="V268" s="2" t="s">
        <v>36</v>
      </c>
      <c r="W268" s="2" t="s">
        <v>37</v>
      </c>
      <c r="X268" s="4" t="s">
        <v>1147</v>
      </c>
      <c r="Y268" s="4" t="s">
        <v>2501</v>
      </c>
      <c r="Z268" t="str">
        <f t="shared" si="24"/>
        <v>9779858051975</v>
      </c>
      <c r="AA268" t="str">
        <f t="shared" si="25"/>
        <v>9858051975</v>
      </c>
      <c r="AB268" t="str">
        <f t="shared" si="26"/>
        <v>9858051975</v>
      </c>
      <c r="AC268" t="str">
        <f t="shared" si="27"/>
        <v>+9779858051975</v>
      </c>
      <c r="AD268" t="str">
        <f t="shared" si="28"/>
        <v>Mobile</v>
      </c>
      <c r="AE268" t="str">
        <f t="shared" si="29"/>
        <v>Valid</v>
      </c>
    </row>
    <row r="269" spans="1:31" x14ac:dyDescent="0.3">
      <c r="A269" s="2" t="s">
        <v>1149</v>
      </c>
      <c r="B269" s="2" t="s">
        <v>1150</v>
      </c>
      <c r="C269" s="2" t="s">
        <v>1151</v>
      </c>
      <c r="D269" s="2" t="s">
        <v>662</v>
      </c>
      <c r="E269" s="2" t="s">
        <v>1151</v>
      </c>
      <c r="F269" s="2" t="s">
        <v>1151</v>
      </c>
      <c r="G269" s="5" t="str" cm="1">
        <f t="array" ref="G269">IFERROR(INDEX(City_Lookup!$B$2:$B$297,MATCH(TRUE,ISNUMBER(SEARCH(City_Lookup!$A$2:$A$297,$F269&amp;" "&amp;$E269)),0)),"Not Available")</f>
        <v>Kailali</v>
      </c>
      <c r="H269" s="5" t="str">
        <f>IFERROR(INDEX(City_Lookup!$E$2:$E$66,MATCH($G269,City_Lookup!$D$2:$D$66,0)),"Not Available")</f>
        <v>Sudurpashchim</v>
      </c>
      <c r="I269" s="2" t="s">
        <v>663</v>
      </c>
      <c r="J269" s="2" t="s">
        <v>29</v>
      </c>
      <c r="K269" s="2" t="s">
        <v>250</v>
      </c>
      <c r="L269" s="2"/>
      <c r="M269" s="2" t="s">
        <v>250</v>
      </c>
      <c r="N269" s="2" t="s">
        <v>664</v>
      </c>
      <c r="O269" s="2">
        <v>1</v>
      </c>
      <c r="P269" s="2" t="s">
        <v>800</v>
      </c>
      <c r="Q269" s="2" t="s">
        <v>1153</v>
      </c>
      <c r="R269" s="2" t="s">
        <v>33</v>
      </c>
      <c r="S269" s="2" t="s">
        <v>27</v>
      </c>
      <c r="T269" s="2" t="s">
        <v>34</v>
      </c>
      <c r="U269" s="2" t="s">
        <v>35</v>
      </c>
      <c r="V269" s="2" t="s">
        <v>36</v>
      </c>
      <c r="W269" s="2" t="s">
        <v>37</v>
      </c>
      <c r="X269" s="4" t="s">
        <v>800</v>
      </c>
      <c r="Y269" s="4" t="s">
        <v>2501</v>
      </c>
      <c r="Z269" t="str">
        <f t="shared" si="24"/>
        <v>9779848750158</v>
      </c>
      <c r="AA269" t="str">
        <f t="shared" si="25"/>
        <v>9848750158</v>
      </c>
      <c r="AB269" t="str">
        <f t="shared" si="26"/>
        <v>9848750158</v>
      </c>
      <c r="AC269" t="str">
        <f t="shared" si="27"/>
        <v>+9779848750158</v>
      </c>
      <c r="AD269" t="str">
        <f t="shared" si="28"/>
        <v>Mobile</v>
      </c>
      <c r="AE269" t="str">
        <f t="shared" si="29"/>
        <v>Valid</v>
      </c>
    </row>
    <row r="270" spans="1:31" x14ac:dyDescent="0.3">
      <c r="A270" s="2" t="s">
        <v>1154</v>
      </c>
      <c r="B270" s="2" t="s">
        <v>1155</v>
      </c>
      <c r="C270" s="2" t="s">
        <v>1156</v>
      </c>
      <c r="D270" s="2" t="s">
        <v>662</v>
      </c>
      <c r="E270" s="2" t="s">
        <v>1156</v>
      </c>
      <c r="F270" s="2" t="s">
        <v>1156</v>
      </c>
      <c r="G270" s="5" t="str" cm="1">
        <f t="array" ref="G270">IFERROR(INDEX(City_Lookup!$B$2:$B$297,MATCH(TRUE,ISNUMBER(SEARCH(City_Lookup!$A$2:$A$297,$F270&amp;" "&amp;$E270)),0)),"Not Available")</f>
        <v>Kathmandu</v>
      </c>
      <c r="H270" s="5" t="str">
        <f>IFERROR(INDEX(City_Lookup!$E$2:$E$66,MATCH($G270,City_Lookup!$D$2:$D$66,0)),"Not Available")</f>
        <v>Bagmati</v>
      </c>
      <c r="I270" s="2" t="s">
        <v>663</v>
      </c>
      <c r="J270" s="2" t="s">
        <v>29</v>
      </c>
      <c r="K270" s="2" t="s">
        <v>250</v>
      </c>
      <c r="L270" s="2"/>
      <c r="M270" s="2" t="s">
        <v>250</v>
      </c>
      <c r="N270" s="2" t="s">
        <v>664</v>
      </c>
      <c r="O270" s="2">
        <v>2</v>
      </c>
      <c r="P270" s="2" t="s">
        <v>971</v>
      </c>
      <c r="Q270" s="2" t="s">
        <v>1157</v>
      </c>
      <c r="R270" s="2" t="s">
        <v>33</v>
      </c>
      <c r="S270" s="2" t="s">
        <v>27</v>
      </c>
      <c r="T270" s="2" t="s">
        <v>34</v>
      </c>
      <c r="U270" s="2" t="s">
        <v>35</v>
      </c>
      <c r="V270" s="2" t="s">
        <v>36</v>
      </c>
      <c r="W270" s="2" t="s">
        <v>37</v>
      </c>
      <c r="X270" s="4" t="s">
        <v>971</v>
      </c>
      <c r="Y270" s="4" t="s">
        <v>2501</v>
      </c>
      <c r="Z270" t="str">
        <f t="shared" si="24"/>
        <v>9779851129081</v>
      </c>
      <c r="AA270" t="str">
        <f t="shared" si="25"/>
        <v>9851129081</v>
      </c>
      <c r="AB270" t="str">
        <f t="shared" si="26"/>
        <v>9851129081</v>
      </c>
      <c r="AC270" t="str">
        <f t="shared" si="27"/>
        <v>+9779851129081</v>
      </c>
      <c r="AD270" t="str">
        <f t="shared" si="28"/>
        <v>Mobile</v>
      </c>
      <c r="AE270" t="str">
        <f t="shared" si="29"/>
        <v>Valid</v>
      </c>
    </row>
    <row r="271" spans="1:31" x14ac:dyDescent="0.3">
      <c r="A271" s="2" t="s">
        <v>1154</v>
      </c>
      <c r="B271" s="2" t="s">
        <v>1158</v>
      </c>
      <c r="C271" s="2" t="s">
        <v>1156</v>
      </c>
      <c r="D271" s="2" t="s">
        <v>662</v>
      </c>
      <c r="E271" s="2" t="s">
        <v>1156</v>
      </c>
      <c r="F271" s="2" t="s">
        <v>1156</v>
      </c>
      <c r="G271" s="5" t="str" cm="1">
        <f t="array" ref="G271">IFERROR(INDEX(City_Lookup!$B$2:$B$297,MATCH(TRUE,ISNUMBER(SEARCH(City_Lookup!$A$2:$A$297,$F271&amp;" "&amp;$E271)),0)),"Not Available")</f>
        <v>Kathmandu</v>
      </c>
      <c r="H271" s="5" t="str">
        <f>IFERROR(INDEX(City_Lookup!$E$2:$E$66,MATCH($G271,City_Lookup!$D$2:$D$66,0)),"Not Available")</f>
        <v>Bagmati</v>
      </c>
      <c r="I271" s="2" t="s">
        <v>28</v>
      </c>
      <c r="J271" s="2" t="s">
        <v>29</v>
      </c>
      <c r="K271" s="2" t="s">
        <v>250</v>
      </c>
      <c r="L271" s="2"/>
      <c r="M271" s="2" t="s">
        <v>250</v>
      </c>
      <c r="N271" s="2" t="s">
        <v>681</v>
      </c>
      <c r="O271" s="2">
        <v>2</v>
      </c>
      <c r="P271" s="2" t="s">
        <v>971</v>
      </c>
      <c r="Q271" s="2" t="s">
        <v>1157</v>
      </c>
      <c r="R271" s="2" t="s">
        <v>33</v>
      </c>
      <c r="S271" s="2" t="s">
        <v>27</v>
      </c>
      <c r="T271" s="2" t="s">
        <v>34</v>
      </c>
      <c r="U271" s="2" t="s">
        <v>35</v>
      </c>
      <c r="V271" s="2" t="s">
        <v>36</v>
      </c>
      <c r="W271" s="2" t="s">
        <v>37</v>
      </c>
      <c r="X271" s="4" t="s">
        <v>971</v>
      </c>
      <c r="Y271" s="4" t="s">
        <v>2501</v>
      </c>
      <c r="Z271" t="str">
        <f t="shared" si="24"/>
        <v>9779851129081</v>
      </c>
      <c r="AA271" t="str">
        <f t="shared" si="25"/>
        <v>9851129081</v>
      </c>
      <c r="AB271" t="str">
        <f t="shared" si="26"/>
        <v>9851129081</v>
      </c>
      <c r="AC271" t="str">
        <f t="shared" si="27"/>
        <v>+9779851129081</v>
      </c>
      <c r="AD271" t="str">
        <f t="shared" si="28"/>
        <v>Mobile</v>
      </c>
      <c r="AE271" t="str">
        <f t="shared" si="29"/>
        <v>Valid</v>
      </c>
    </row>
    <row r="272" spans="1:31" x14ac:dyDescent="0.3">
      <c r="A272" s="2" t="s">
        <v>1159</v>
      </c>
      <c r="B272" s="2" t="s">
        <v>1160</v>
      </c>
      <c r="C272" s="2" t="s">
        <v>1161</v>
      </c>
      <c r="D272" s="2" t="s">
        <v>662</v>
      </c>
      <c r="E272" s="2" t="s">
        <v>1161</v>
      </c>
      <c r="F272" s="2" t="s">
        <v>1161</v>
      </c>
      <c r="G272" s="5" t="str" cm="1">
        <f t="array" ref="G272">IFERROR(INDEX(City_Lookup!$B$2:$B$297,MATCH(TRUE,ISNUMBER(SEARCH(City_Lookup!$A$2:$A$297,$F272&amp;" "&amp;$E272)),0)),"Not Available")</f>
        <v>Kathmandu</v>
      </c>
      <c r="H272" s="5" t="str">
        <f>IFERROR(INDEX(City_Lookup!$E$2:$E$66,MATCH($G272,City_Lookup!$D$2:$D$66,0)),"Not Available")</f>
        <v>Bagmati</v>
      </c>
      <c r="I272" s="2" t="s">
        <v>663</v>
      </c>
      <c r="J272" s="2" t="s">
        <v>29</v>
      </c>
      <c r="K272" s="2" t="s">
        <v>250</v>
      </c>
      <c r="L272" s="2"/>
      <c r="M272" s="2" t="s">
        <v>250</v>
      </c>
      <c r="N272" s="2" t="s">
        <v>664</v>
      </c>
      <c r="O272" s="2">
        <v>1</v>
      </c>
      <c r="P272" s="2" t="s">
        <v>1163</v>
      </c>
      <c r="Q272" s="2" t="s">
        <v>1164</v>
      </c>
      <c r="R272" s="2" t="s">
        <v>33</v>
      </c>
      <c r="S272" s="2" t="s">
        <v>27</v>
      </c>
      <c r="T272" s="2" t="s">
        <v>34</v>
      </c>
      <c r="U272" s="2" t="s">
        <v>35</v>
      </c>
      <c r="V272" s="2" t="s">
        <v>36</v>
      </c>
      <c r="W272" s="2" t="s">
        <v>37</v>
      </c>
      <c r="X272" s="4" t="s">
        <v>1163</v>
      </c>
      <c r="Y272" s="4" t="s">
        <v>2501</v>
      </c>
      <c r="Z272" t="str">
        <f t="shared" si="24"/>
        <v>9779851002956</v>
      </c>
      <c r="AA272" t="str">
        <f t="shared" si="25"/>
        <v>9851002956</v>
      </c>
      <c r="AB272" t="str">
        <f t="shared" si="26"/>
        <v>9851002956</v>
      </c>
      <c r="AC272" t="str">
        <f t="shared" si="27"/>
        <v>+9779851002956</v>
      </c>
      <c r="AD272" t="str">
        <f t="shared" si="28"/>
        <v>Mobile</v>
      </c>
      <c r="AE272" t="str">
        <f t="shared" si="29"/>
        <v>Valid</v>
      </c>
    </row>
    <row r="273" spans="1:31" x14ac:dyDescent="0.3">
      <c r="A273" s="2" t="s">
        <v>1165</v>
      </c>
      <c r="B273" s="2" t="s">
        <v>1166</v>
      </c>
      <c r="C273" s="2" t="s">
        <v>1167</v>
      </c>
      <c r="D273" s="2" t="s">
        <v>662</v>
      </c>
      <c r="E273" s="2" t="s">
        <v>1167</v>
      </c>
      <c r="F273" s="2" t="s">
        <v>1167</v>
      </c>
      <c r="G273" s="5" t="str" cm="1">
        <f t="array" ref="G273">IFERROR(INDEX(City_Lookup!$B$2:$B$297,MATCH(TRUE,ISNUMBER(SEARCH(City_Lookup!$A$2:$A$297,$F273&amp;" "&amp;$E273)),0)),"Not Available")</f>
        <v>Kathmandu</v>
      </c>
      <c r="H273" s="5" t="str">
        <f>IFERROR(INDEX(City_Lookup!$E$2:$E$66,MATCH($G273,City_Lookup!$D$2:$D$66,0)),"Not Available")</f>
        <v>Bagmati</v>
      </c>
      <c r="I273" s="2" t="s">
        <v>663</v>
      </c>
      <c r="J273" s="2" t="s">
        <v>29</v>
      </c>
      <c r="K273" s="2" t="s">
        <v>250</v>
      </c>
      <c r="L273" s="2"/>
      <c r="M273" s="2" t="s">
        <v>250</v>
      </c>
      <c r="N273" s="2" t="s">
        <v>664</v>
      </c>
      <c r="O273" s="2">
        <v>1</v>
      </c>
      <c r="P273" s="2" t="s">
        <v>1169</v>
      </c>
      <c r="Q273" s="2" t="s">
        <v>1170</v>
      </c>
      <c r="R273" s="2" t="s">
        <v>33</v>
      </c>
      <c r="S273" s="2" t="s">
        <v>27</v>
      </c>
      <c r="T273" s="2" t="s">
        <v>34</v>
      </c>
      <c r="U273" s="2" t="s">
        <v>35</v>
      </c>
      <c r="V273" s="2" t="s">
        <v>36</v>
      </c>
      <c r="W273" s="2" t="s">
        <v>37</v>
      </c>
      <c r="X273" s="4" t="s">
        <v>1169</v>
      </c>
      <c r="Y273" s="4" t="s">
        <v>2501</v>
      </c>
      <c r="Z273" t="str">
        <f t="shared" si="24"/>
        <v>9779868199829</v>
      </c>
      <c r="AA273" t="str">
        <f t="shared" si="25"/>
        <v>9868199829</v>
      </c>
      <c r="AB273" t="str">
        <f t="shared" si="26"/>
        <v>9868199829</v>
      </c>
      <c r="AC273" t="str">
        <f t="shared" si="27"/>
        <v>+9779868199829</v>
      </c>
      <c r="AD273" t="str">
        <f t="shared" si="28"/>
        <v>Mobile</v>
      </c>
      <c r="AE273" t="str">
        <f t="shared" si="29"/>
        <v>Valid</v>
      </c>
    </row>
    <row r="274" spans="1:31" x14ac:dyDescent="0.3">
      <c r="A274" s="2" t="s">
        <v>1171</v>
      </c>
      <c r="B274" s="2" t="s">
        <v>1172</v>
      </c>
      <c r="C274" s="2" t="s">
        <v>1173</v>
      </c>
      <c r="D274" s="2" t="s">
        <v>662</v>
      </c>
      <c r="E274" s="2" t="s">
        <v>1173</v>
      </c>
      <c r="F274" s="2" t="s">
        <v>1173</v>
      </c>
      <c r="G274" s="5" t="str" cm="1">
        <f t="array" ref="G274">IFERROR(INDEX(City_Lookup!$B$2:$B$297,MATCH(TRUE,ISNUMBER(SEARCH(City_Lookup!$A$2:$A$297,$F274&amp;" "&amp;$E274)),0)),"Not Available")</f>
        <v>Sindhuli</v>
      </c>
      <c r="H274" s="5" t="str">
        <f>IFERROR(INDEX(City_Lookup!$E$2:$E$66,MATCH($G274,City_Lookup!$D$2:$D$66,0)),"Not Available")</f>
        <v>Bagmati</v>
      </c>
      <c r="I274" s="2" t="s">
        <v>663</v>
      </c>
      <c r="J274" s="2" t="s">
        <v>29</v>
      </c>
      <c r="K274" s="2" t="s">
        <v>250</v>
      </c>
      <c r="L274" s="2"/>
      <c r="M274" s="2" t="s">
        <v>250</v>
      </c>
      <c r="N274" s="2" t="s">
        <v>664</v>
      </c>
      <c r="O274" s="2">
        <v>1</v>
      </c>
      <c r="P274" s="2" t="s">
        <v>27</v>
      </c>
      <c r="Q274" s="2" t="s">
        <v>1174</v>
      </c>
      <c r="R274" s="2" t="s">
        <v>33</v>
      </c>
      <c r="S274" s="2" t="s">
        <v>27</v>
      </c>
      <c r="T274" s="2" t="s">
        <v>34</v>
      </c>
      <c r="U274" s="2" t="s">
        <v>35</v>
      </c>
      <c r="V274" s="2" t="s">
        <v>36</v>
      </c>
      <c r="W274" s="2" t="s">
        <v>37</v>
      </c>
      <c r="X274" s="4" t="s">
        <v>2487</v>
      </c>
      <c r="Y274" s="4" t="s">
        <v>2500</v>
      </c>
      <c r="Z274" t="str">
        <f t="shared" si="24"/>
        <v>9779801462823</v>
      </c>
      <c r="AA274" t="str">
        <f t="shared" si="25"/>
        <v>9801462823</v>
      </c>
      <c r="AB274" t="str">
        <f t="shared" si="26"/>
        <v>9801462823</v>
      </c>
      <c r="AC274" t="str">
        <f t="shared" si="27"/>
        <v>+9779801462823</v>
      </c>
      <c r="AD274" t="str">
        <f t="shared" si="28"/>
        <v>Mobile</v>
      </c>
      <c r="AE274" t="str">
        <f t="shared" si="29"/>
        <v>Valid</v>
      </c>
    </row>
    <row r="275" spans="1:31" x14ac:dyDescent="0.3">
      <c r="A275" s="2" t="s">
        <v>1175</v>
      </c>
      <c r="B275" s="2" t="s">
        <v>1176</v>
      </c>
      <c r="C275" s="2" t="s">
        <v>1177</v>
      </c>
      <c r="D275" s="2" t="s">
        <v>662</v>
      </c>
      <c r="E275" s="2" t="s">
        <v>1177</v>
      </c>
      <c r="F275" s="2" t="s">
        <v>1177</v>
      </c>
      <c r="G275" s="5" t="str" cm="1">
        <f t="array" ref="G275">IFERROR(INDEX(City_Lookup!$B$2:$B$297,MATCH(TRUE,ISNUMBER(SEARCH(City_Lookup!$A$2:$A$297,$F275&amp;" "&amp;$E275)),0)),"Not Available")</f>
        <v>Parsa</v>
      </c>
      <c r="H275" s="5" t="str">
        <f>IFERROR(INDEX(City_Lookup!$E$2:$E$66,MATCH($G275,City_Lookup!$D$2:$D$66,0)),"Not Available")</f>
        <v>Madhesh</v>
      </c>
      <c r="I275" s="2" t="s">
        <v>663</v>
      </c>
      <c r="J275" s="2" t="s">
        <v>29</v>
      </c>
      <c r="K275" s="2" t="s">
        <v>250</v>
      </c>
      <c r="L275" s="2"/>
      <c r="M275" s="2" t="s">
        <v>250</v>
      </c>
      <c r="N275" s="2" t="s">
        <v>664</v>
      </c>
      <c r="O275" s="2">
        <v>1</v>
      </c>
      <c r="P275" s="2" t="s">
        <v>27</v>
      </c>
      <c r="Q275" s="2" t="s">
        <v>1178</v>
      </c>
      <c r="R275" s="2" t="s">
        <v>33</v>
      </c>
      <c r="S275" s="2" t="s">
        <v>27</v>
      </c>
      <c r="T275" s="2" t="s">
        <v>34</v>
      </c>
      <c r="U275" s="2" t="s">
        <v>35</v>
      </c>
      <c r="V275" s="2" t="s">
        <v>36</v>
      </c>
      <c r="W275" s="2" t="s">
        <v>37</v>
      </c>
      <c r="X275" s="4" t="s">
        <v>2487</v>
      </c>
      <c r="Y275" s="4" t="s">
        <v>2500</v>
      </c>
      <c r="Z275" t="str">
        <f t="shared" si="24"/>
        <v>9779801462823</v>
      </c>
      <c r="AA275" t="str">
        <f t="shared" si="25"/>
        <v>9801462823</v>
      </c>
      <c r="AB275" t="str">
        <f t="shared" si="26"/>
        <v>9801462823</v>
      </c>
      <c r="AC275" t="str">
        <f t="shared" si="27"/>
        <v>+9779801462823</v>
      </c>
      <c r="AD275" t="str">
        <f t="shared" si="28"/>
        <v>Mobile</v>
      </c>
      <c r="AE275" t="str">
        <f t="shared" si="29"/>
        <v>Valid</v>
      </c>
    </row>
    <row r="276" spans="1:31" x14ac:dyDescent="0.3">
      <c r="A276" s="2" t="s">
        <v>1179</v>
      </c>
      <c r="B276" s="2" t="s">
        <v>1180</v>
      </c>
      <c r="C276" s="2" t="s">
        <v>1181</v>
      </c>
      <c r="D276" s="2" t="s">
        <v>662</v>
      </c>
      <c r="E276" s="2" t="s">
        <v>1181</v>
      </c>
      <c r="F276" s="2" t="s">
        <v>1181</v>
      </c>
      <c r="G276" s="5" t="str" cm="1">
        <f t="array" ref="G276">IFERROR(INDEX(City_Lookup!$B$2:$B$297,MATCH(TRUE,ISNUMBER(SEARCH(City_Lookup!$A$2:$A$297,$F276&amp;" "&amp;$E276)),0)),"Not Available")</f>
        <v>Mahottari</v>
      </c>
      <c r="H276" s="5" t="str">
        <f>IFERROR(INDEX(City_Lookup!$E$2:$E$66,MATCH($G276,City_Lookup!$D$2:$D$66,0)),"Not Available")</f>
        <v>Madhesh</v>
      </c>
      <c r="I276" s="2" t="s">
        <v>28</v>
      </c>
      <c r="J276" s="2" t="s">
        <v>29</v>
      </c>
      <c r="K276" s="2" t="s">
        <v>250</v>
      </c>
      <c r="L276" s="2"/>
      <c r="M276" s="2" t="s">
        <v>250</v>
      </c>
      <c r="N276" s="2" t="s">
        <v>681</v>
      </c>
      <c r="O276" s="2">
        <v>1</v>
      </c>
      <c r="P276" s="2" t="s">
        <v>27</v>
      </c>
      <c r="Q276" s="2" t="s">
        <v>1183</v>
      </c>
      <c r="R276" s="2" t="s">
        <v>33</v>
      </c>
      <c r="S276" s="2" t="s">
        <v>27</v>
      </c>
      <c r="T276" s="2" t="s">
        <v>34</v>
      </c>
      <c r="U276" s="2" t="s">
        <v>35</v>
      </c>
      <c r="V276" s="2" t="s">
        <v>36</v>
      </c>
      <c r="W276" s="2" t="s">
        <v>37</v>
      </c>
      <c r="X276" s="4" t="s">
        <v>2487</v>
      </c>
      <c r="Y276" s="4" t="s">
        <v>2500</v>
      </c>
      <c r="Z276" t="str">
        <f t="shared" si="24"/>
        <v>9779801462823</v>
      </c>
      <c r="AA276" t="str">
        <f t="shared" si="25"/>
        <v>9801462823</v>
      </c>
      <c r="AB276" t="str">
        <f t="shared" si="26"/>
        <v>9801462823</v>
      </c>
      <c r="AC276" t="str">
        <f t="shared" si="27"/>
        <v>+9779801462823</v>
      </c>
      <c r="AD276" t="str">
        <f t="shared" si="28"/>
        <v>Mobile</v>
      </c>
      <c r="AE276" t="str">
        <f t="shared" si="29"/>
        <v>Valid</v>
      </c>
    </row>
    <row r="277" spans="1:31" x14ac:dyDescent="0.3">
      <c r="A277" s="2" t="s">
        <v>1184</v>
      </c>
      <c r="B277" s="2" t="s">
        <v>1185</v>
      </c>
      <c r="C277" s="2" t="s">
        <v>1186</v>
      </c>
      <c r="D277" s="2" t="s">
        <v>662</v>
      </c>
      <c r="E277" s="2" t="s">
        <v>1186</v>
      </c>
      <c r="F277" s="2" t="s">
        <v>1186</v>
      </c>
      <c r="G277" s="5" t="str" cm="1">
        <f t="array" ref="G277">IFERROR(INDEX(City_Lookup!$B$2:$B$297,MATCH(TRUE,ISNUMBER(SEARCH(City_Lookup!$A$2:$A$297,$F277&amp;" "&amp;$E277)),0)),"Not Available")</f>
        <v>Makwanpur</v>
      </c>
      <c r="H277" s="5" t="str">
        <f>IFERROR(INDEX(City_Lookup!$E$2:$E$66,MATCH($G277,City_Lookup!$D$2:$D$66,0)),"Not Available")</f>
        <v>Bagmati</v>
      </c>
      <c r="I277" s="2" t="s">
        <v>663</v>
      </c>
      <c r="J277" s="2" t="s">
        <v>29</v>
      </c>
      <c r="K277" s="2" t="s">
        <v>250</v>
      </c>
      <c r="L277" s="2"/>
      <c r="M277" s="2" t="s">
        <v>250</v>
      </c>
      <c r="N277" s="2" t="s">
        <v>664</v>
      </c>
      <c r="O277" s="2">
        <v>1</v>
      </c>
      <c r="P277" s="2" t="s">
        <v>1187</v>
      </c>
      <c r="Q277" s="2" t="s">
        <v>1188</v>
      </c>
      <c r="R277" s="2" t="s">
        <v>33</v>
      </c>
      <c r="S277" s="2" t="s">
        <v>27</v>
      </c>
      <c r="T277" s="2" t="s">
        <v>34</v>
      </c>
      <c r="U277" s="2" t="s">
        <v>35</v>
      </c>
      <c r="V277" s="2" t="s">
        <v>36</v>
      </c>
      <c r="W277" s="2" t="s">
        <v>37</v>
      </c>
      <c r="X277" s="4" t="s">
        <v>1187</v>
      </c>
      <c r="Y277" s="4" t="s">
        <v>2501</v>
      </c>
      <c r="Z277" t="str">
        <f t="shared" si="24"/>
        <v>9779856027830</v>
      </c>
      <c r="AA277" t="str">
        <f t="shared" si="25"/>
        <v>9856027830</v>
      </c>
      <c r="AB277" t="str">
        <f t="shared" si="26"/>
        <v>9856027830</v>
      </c>
      <c r="AC277" t="str">
        <f t="shared" si="27"/>
        <v>+9779856027830</v>
      </c>
      <c r="AD277" t="str">
        <f t="shared" si="28"/>
        <v>Mobile</v>
      </c>
      <c r="AE277" t="str">
        <f t="shared" si="29"/>
        <v>Valid</v>
      </c>
    </row>
    <row r="278" spans="1:31" x14ac:dyDescent="0.3">
      <c r="A278" s="2" t="s">
        <v>1189</v>
      </c>
      <c r="B278" s="2" t="s">
        <v>1190</v>
      </c>
      <c r="C278" s="2" t="s">
        <v>1191</v>
      </c>
      <c r="D278" s="2" t="s">
        <v>1192</v>
      </c>
      <c r="E278" s="2" t="s">
        <v>1191</v>
      </c>
      <c r="F278" s="2" t="s">
        <v>1191</v>
      </c>
      <c r="G278" s="5" t="str" cm="1">
        <f t="array" ref="G278">IFERROR(INDEX(City_Lookup!$B$2:$B$297,MATCH(TRUE,ISNUMBER(SEARCH(City_Lookup!$A$2:$A$297,$F278&amp;" "&amp;$E278)),0)),"Not Available")</f>
        <v>Morang</v>
      </c>
      <c r="H278" s="5" t="str">
        <f>IFERROR(INDEX(City_Lookup!$E$2:$E$66,MATCH($G278,City_Lookup!$D$2:$D$66,0)),"Not Available")</f>
        <v>Koshi</v>
      </c>
      <c r="I278" s="2" t="s">
        <v>28</v>
      </c>
      <c r="J278" s="2" t="s">
        <v>29</v>
      </c>
      <c r="K278" s="2" t="s">
        <v>250</v>
      </c>
      <c r="L278" s="2"/>
      <c r="M278" s="2" t="s">
        <v>250</v>
      </c>
      <c r="N278" s="2" t="s">
        <v>1193</v>
      </c>
      <c r="O278" s="2">
        <v>1</v>
      </c>
      <c r="P278" s="2" t="s">
        <v>1194</v>
      </c>
      <c r="Q278" s="2" t="s">
        <v>1195</v>
      </c>
      <c r="R278" s="2" t="s">
        <v>33</v>
      </c>
      <c r="S278" s="2" t="s">
        <v>27</v>
      </c>
      <c r="T278" s="2" t="s">
        <v>34</v>
      </c>
      <c r="U278" s="2" t="s">
        <v>35</v>
      </c>
      <c r="V278" s="2" t="s">
        <v>36</v>
      </c>
      <c r="W278" s="2" t="s">
        <v>37</v>
      </c>
      <c r="X278" s="4" t="s">
        <v>1194</v>
      </c>
      <c r="Y278" s="4" t="s">
        <v>2501</v>
      </c>
      <c r="Z278" t="str">
        <f t="shared" si="24"/>
        <v>9770985105800</v>
      </c>
      <c r="AA278" t="str">
        <f t="shared" si="25"/>
        <v>0985105800</v>
      </c>
      <c r="AB278" t="str">
        <f t="shared" si="26"/>
        <v>985105800</v>
      </c>
      <c r="AC278" t="str">
        <f t="shared" si="27"/>
        <v>+977985105800</v>
      </c>
      <c r="AD278" t="str">
        <f t="shared" si="28"/>
        <v>Landline</v>
      </c>
      <c r="AE278" t="str">
        <f t="shared" si="29"/>
        <v>Valid</v>
      </c>
    </row>
    <row r="279" spans="1:31" x14ac:dyDescent="0.3">
      <c r="A279" s="2" t="s">
        <v>1196</v>
      </c>
      <c r="B279" s="2" t="s">
        <v>1197</v>
      </c>
      <c r="C279" s="2" t="s">
        <v>1198</v>
      </c>
      <c r="D279" s="2" t="s">
        <v>1192</v>
      </c>
      <c r="E279" s="2" t="s">
        <v>1198</v>
      </c>
      <c r="F279" s="2" t="s">
        <v>1198</v>
      </c>
      <c r="G279" s="5" t="str" cm="1">
        <f t="array" ref="G279">IFERROR(INDEX(City_Lookup!$B$2:$B$297,MATCH(TRUE,ISNUMBER(SEARCH(City_Lookup!$A$2:$A$297,$F279&amp;" "&amp;$E279)),0)),"Not Available")</f>
        <v>Jhapa</v>
      </c>
      <c r="H279" s="5" t="str">
        <f>IFERROR(INDEX(City_Lookup!$E$2:$E$66,MATCH($G279,City_Lookup!$D$2:$D$66,0)),"Not Available")</f>
        <v>Koshi</v>
      </c>
      <c r="I279" s="2" t="s">
        <v>28</v>
      </c>
      <c r="J279" s="2" t="s">
        <v>29</v>
      </c>
      <c r="K279" s="2" t="s">
        <v>250</v>
      </c>
      <c r="L279" s="2"/>
      <c r="M279" s="2" t="s">
        <v>250</v>
      </c>
      <c r="N279" s="2" t="s">
        <v>1193</v>
      </c>
      <c r="O279" s="2">
        <v>1</v>
      </c>
      <c r="P279" s="2" t="s">
        <v>1199</v>
      </c>
      <c r="Q279" s="2" t="s">
        <v>1200</v>
      </c>
      <c r="R279" s="2" t="s">
        <v>33</v>
      </c>
      <c r="S279" s="2" t="s">
        <v>27</v>
      </c>
      <c r="T279" s="2" t="s">
        <v>34</v>
      </c>
      <c r="U279" s="2" t="s">
        <v>35</v>
      </c>
      <c r="V279" s="2" t="s">
        <v>36</v>
      </c>
      <c r="W279" s="2" t="s">
        <v>37</v>
      </c>
      <c r="X279" s="4" t="s">
        <v>1199</v>
      </c>
      <c r="Y279" s="4" t="s">
        <v>2501</v>
      </c>
      <c r="Z279" t="str">
        <f t="shared" si="24"/>
        <v>9770985106224</v>
      </c>
      <c r="AA279" t="str">
        <f t="shared" si="25"/>
        <v>0985106224</v>
      </c>
      <c r="AB279" t="str">
        <f t="shared" si="26"/>
        <v>985106224</v>
      </c>
      <c r="AC279" t="str">
        <f t="shared" si="27"/>
        <v>+977985106224</v>
      </c>
      <c r="AD279" t="str">
        <f t="shared" si="28"/>
        <v>Landline</v>
      </c>
      <c r="AE279" t="str">
        <f t="shared" si="29"/>
        <v>Valid</v>
      </c>
    </row>
    <row r="280" spans="1:31" x14ac:dyDescent="0.3">
      <c r="A280" s="2" t="s">
        <v>1201</v>
      </c>
      <c r="B280" s="2" t="s">
        <v>1202</v>
      </c>
      <c r="C280" s="2" t="s">
        <v>1203</v>
      </c>
      <c r="D280" s="2" t="s">
        <v>1192</v>
      </c>
      <c r="E280" s="2" t="s">
        <v>1203</v>
      </c>
      <c r="F280" s="2" t="s">
        <v>1203</v>
      </c>
      <c r="G280" s="5" t="str" cm="1">
        <f t="array" ref="G280">IFERROR(INDEX(City_Lookup!$B$2:$B$297,MATCH(TRUE,ISNUMBER(SEARCH(City_Lookup!$A$2:$A$297,$F280&amp;" "&amp;$E280)),0)),"Not Available")</f>
        <v>Rupandehi</v>
      </c>
      <c r="H280" s="5" t="str">
        <f>IFERROR(INDEX(City_Lookup!$E$2:$E$66,MATCH($G280,City_Lookup!$D$2:$D$66,0)),"Not Available")</f>
        <v>Lumbini</v>
      </c>
      <c r="I280" s="2" t="s">
        <v>28</v>
      </c>
      <c r="J280" s="2" t="s">
        <v>29</v>
      </c>
      <c r="K280" s="2" t="s">
        <v>250</v>
      </c>
      <c r="L280" s="2"/>
      <c r="M280" s="2" t="s">
        <v>250</v>
      </c>
      <c r="N280" s="2" t="s">
        <v>1193</v>
      </c>
      <c r="O280" s="2">
        <v>1</v>
      </c>
      <c r="P280" s="2" t="s">
        <v>1204</v>
      </c>
      <c r="Q280" s="2" t="s">
        <v>1205</v>
      </c>
      <c r="R280" s="2" t="s">
        <v>33</v>
      </c>
      <c r="S280" s="2" t="s">
        <v>27</v>
      </c>
      <c r="T280" s="2" t="s">
        <v>34</v>
      </c>
      <c r="U280" s="2" t="s">
        <v>35</v>
      </c>
      <c r="V280" s="2" t="s">
        <v>36</v>
      </c>
      <c r="W280" s="2" t="s">
        <v>37</v>
      </c>
      <c r="X280" s="4" t="s">
        <v>1204</v>
      </c>
      <c r="Y280" s="4" t="s">
        <v>2501</v>
      </c>
      <c r="Z280" t="str">
        <f t="shared" si="24"/>
        <v>9770985106061</v>
      </c>
      <c r="AA280" t="str">
        <f t="shared" si="25"/>
        <v>0985106061</v>
      </c>
      <c r="AB280" t="str">
        <f t="shared" si="26"/>
        <v>985106061</v>
      </c>
      <c r="AC280" t="str">
        <f t="shared" si="27"/>
        <v>+977985106061</v>
      </c>
      <c r="AD280" t="str">
        <f t="shared" si="28"/>
        <v>Landline</v>
      </c>
      <c r="AE280" t="str">
        <f t="shared" si="29"/>
        <v>Valid</v>
      </c>
    </row>
    <row r="281" spans="1:31" x14ac:dyDescent="0.3">
      <c r="A281" s="2" t="s">
        <v>1206</v>
      </c>
      <c r="B281" s="2" t="s">
        <v>1207</v>
      </c>
      <c r="C281" s="2" t="s">
        <v>1208</v>
      </c>
      <c r="D281" s="2" t="s">
        <v>1192</v>
      </c>
      <c r="E281" s="2" t="s">
        <v>1208</v>
      </c>
      <c r="F281" s="2" t="s">
        <v>1208</v>
      </c>
      <c r="G281" s="5" t="str" cm="1">
        <f t="array" ref="G281">IFERROR(INDEX(City_Lookup!$B$2:$B$297,MATCH(TRUE,ISNUMBER(SEARCH(City_Lookup!$A$2:$A$297,$F281&amp;" "&amp;$E281)),0)),"Not Available")</f>
        <v>Kailali</v>
      </c>
      <c r="H281" s="5" t="str">
        <f>IFERROR(INDEX(City_Lookup!$E$2:$E$66,MATCH($G281,City_Lookup!$D$2:$D$66,0)),"Not Available")</f>
        <v>Sudurpashchim</v>
      </c>
      <c r="I281" s="2" t="s">
        <v>28</v>
      </c>
      <c r="J281" s="2" t="s">
        <v>29</v>
      </c>
      <c r="K281" s="2" t="s">
        <v>250</v>
      </c>
      <c r="L281" s="2"/>
      <c r="M281" s="2" t="s">
        <v>250</v>
      </c>
      <c r="N281" s="2" t="s">
        <v>1193</v>
      </c>
      <c r="O281" s="2">
        <v>1</v>
      </c>
      <c r="P281" s="2" t="s">
        <v>1209</v>
      </c>
      <c r="Q281" s="2" t="s">
        <v>1210</v>
      </c>
      <c r="R281" s="2" t="s">
        <v>33</v>
      </c>
      <c r="S281" s="2" t="s">
        <v>27</v>
      </c>
      <c r="T281" s="2" t="s">
        <v>34</v>
      </c>
      <c r="U281" s="2" t="s">
        <v>35</v>
      </c>
      <c r="V281" s="2" t="s">
        <v>36</v>
      </c>
      <c r="W281" s="2" t="s">
        <v>37</v>
      </c>
      <c r="X281" s="4" t="s">
        <v>1209</v>
      </c>
      <c r="Y281" s="4" t="s">
        <v>2501</v>
      </c>
      <c r="Z281" t="str">
        <f t="shared" si="24"/>
        <v>9770985106062</v>
      </c>
      <c r="AA281" t="str">
        <f t="shared" si="25"/>
        <v>0985106062</v>
      </c>
      <c r="AB281" t="str">
        <f t="shared" si="26"/>
        <v>985106062</v>
      </c>
      <c r="AC281" t="str">
        <f t="shared" si="27"/>
        <v>+977985106062</v>
      </c>
      <c r="AD281" t="str">
        <f t="shared" si="28"/>
        <v>Landline</v>
      </c>
      <c r="AE281" t="str">
        <f t="shared" si="29"/>
        <v>Valid</v>
      </c>
    </row>
    <row r="282" spans="1:31" x14ac:dyDescent="0.3">
      <c r="A282" s="2" t="s">
        <v>1211</v>
      </c>
      <c r="B282" s="2" t="s">
        <v>1212</v>
      </c>
      <c r="C282" s="2" t="s">
        <v>1213</v>
      </c>
      <c r="D282" s="2" t="s">
        <v>1192</v>
      </c>
      <c r="E282" s="2" t="s">
        <v>1213</v>
      </c>
      <c r="F282" s="2" t="s">
        <v>1213</v>
      </c>
      <c r="G282" s="5" t="str" cm="1">
        <f t="array" ref="G282">IFERROR(INDEX(City_Lookup!$B$2:$B$297,MATCH(TRUE,ISNUMBER(SEARCH(City_Lookup!$A$2:$A$297,$F282&amp;" "&amp;$E282)),0)),"Not Available")</f>
        <v>Banke</v>
      </c>
      <c r="H282" s="5" t="str">
        <f>IFERROR(INDEX(City_Lookup!$E$2:$E$66,MATCH($G282,City_Lookup!$D$2:$D$66,0)),"Not Available")</f>
        <v>Lumbini</v>
      </c>
      <c r="I282" s="2" t="s">
        <v>28</v>
      </c>
      <c r="J282" s="2" t="s">
        <v>29</v>
      </c>
      <c r="K282" s="2" t="s">
        <v>250</v>
      </c>
      <c r="L282" s="2"/>
      <c r="M282" s="2" t="s">
        <v>250</v>
      </c>
      <c r="N282" s="2" t="s">
        <v>1193</v>
      </c>
      <c r="O282" s="2">
        <v>1</v>
      </c>
      <c r="P282" s="2" t="s">
        <v>1214</v>
      </c>
      <c r="Q282" s="2" t="s">
        <v>1215</v>
      </c>
      <c r="R282" s="2" t="s">
        <v>33</v>
      </c>
      <c r="S282" s="2" t="s">
        <v>27</v>
      </c>
      <c r="T282" s="2" t="s">
        <v>34</v>
      </c>
      <c r="U282" s="2" t="s">
        <v>35</v>
      </c>
      <c r="V282" s="2" t="s">
        <v>36</v>
      </c>
      <c r="W282" s="2" t="s">
        <v>37</v>
      </c>
      <c r="X282" s="4" t="s">
        <v>1214</v>
      </c>
      <c r="Y282" s="4" t="s">
        <v>2501</v>
      </c>
      <c r="Z282" t="str">
        <f t="shared" si="24"/>
        <v>9770985107621</v>
      </c>
      <c r="AA282" t="str">
        <f t="shared" si="25"/>
        <v>0985107621</v>
      </c>
      <c r="AB282" t="str">
        <f t="shared" si="26"/>
        <v>985107621</v>
      </c>
      <c r="AC282" t="str">
        <f t="shared" si="27"/>
        <v>+977985107621</v>
      </c>
      <c r="AD282" t="str">
        <f t="shared" si="28"/>
        <v>Landline</v>
      </c>
      <c r="AE282" t="str">
        <f t="shared" si="29"/>
        <v>Valid</v>
      </c>
    </row>
    <row r="283" spans="1:31" x14ac:dyDescent="0.3">
      <c r="A283" s="2" t="s">
        <v>1216</v>
      </c>
      <c r="B283" s="2" t="s">
        <v>1217</v>
      </c>
      <c r="C283" s="2" t="s">
        <v>1218</v>
      </c>
      <c r="D283" s="2" t="s">
        <v>1192</v>
      </c>
      <c r="E283" s="2" t="s">
        <v>1218</v>
      </c>
      <c r="F283" s="2" t="s">
        <v>1218</v>
      </c>
      <c r="G283" s="5" t="str" cm="1">
        <f t="array" ref="G283">IFERROR(INDEX(City_Lookup!$B$2:$B$297,MATCH(TRUE,ISNUMBER(SEARCH(City_Lookup!$A$2:$A$297,$F283&amp;" "&amp;$E283)),0)),"Not Available")</f>
        <v>Kaski</v>
      </c>
      <c r="H283" s="5" t="str">
        <f>IFERROR(INDEX(City_Lookup!$E$2:$E$66,MATCH($G283,City_Lookup!$D$2:$D$66,0)),"Not Available")</f>
        <v>Gandaki</v>
      </c>
      <c r="I283" s="2" t="s">
        <v>28</v>
      </c>
      <c r="J283" s="2" t="s">
        <v>29</v>
      </c>
      <c r="K283" s="2" t="s">
        <v>250</v>
      </c>
      <c r="L283" s="2"/>
      <c r="M283" s="2" t="s">
        <v>250</v>
      </c>
      <c r="N283" s="2" t="s">
        <v>1193</v>
      </c>
      <c r="O283" s="2">
        <v>1</v>
      </c>
      <c r="P283" s="2" t="s">
        <v>1219</v>
      </c>
      <c r="Q283" s="2" t="s">
        <v>1220</v>
      </c>
      <c r="R283" s="2" t="s">
        <v>33</v>
      </c>
      <c r="S283" s="2" t="s">
        <v>27</v>
      </c>
      <c r="T283" s="2" t="s">
        <v>34</v>
      </c>
      <c r="U283" s="2" t="s">
        <v>35</v>
      </c>
      <c r="V283" s="2" t="s">
        <v>36</v>
      </c>
      <c r="W283" s="2" t="s">
        <v>37</v>
      </c>
      <c r="X283" s="4" t="s">
        <v>1219</v>
      </c>
      <c r="Y283" s="4" t="s">
        <v>2501</v>
      </c>
      <c r="Z283" t="str">
        <f t="shared" si="24"/>
        <v>977061590232</v>
      </c>
      <c r="AA283" t="str">
        <f t="shared" si="25"/>
        <v>061590232</v>
      </c>
      <c r="AB283" t="str">
        <f t="shared" si="26"/>
        <v>61590232</v>
      </c>
      <c r="AC283" t="str">
        <f t="shared" si="27"/>
        <v>+97761590232</v>
      </c>
      <c r="AD283" t="str">
        <f t="shared" si="28"/>
        <v>Landline</v>
      </c>
      <c r="AE283" t="str">
        <f t="shared" si="29"/>
        <v>Valid</v>
      </c>
    </row>
    <row r="284" spans="1:31" x14ac:dyDescent="0.3">
      <c r="A284" s="2" t="s">
        <v>1221</v>
      </c>
      <c r="B284" s="2" t="s">
        <v>1222</v>
      </c>
      <c r="C284" s="2" t="s">
        <v>1223</v>
      </c>
      <c r="D284" s="2" t="s">
        <v>1192</v>
      </c>
      <c r="E284" s="2" t="s">
        <v>1223</v>
      </c>
      <c r="F284" s="2" t="s">
        <v>1223</v>
      </c>
      <c r="G284" s="5" t="str" cm="1">
        <f t="array" ref="G284">IFERROR(INDEX(City_Lookup!$B$2:$B$297,MATCH(TRUE,ISNUMBER(SEARCH(City_Lookup!$A$2:$A$297,$F284&amp;" "&amp;$E284)),0)),"Not Available")</f>
        <v>Surkhet</v>
      </c>
      <c r="H284" s="5" t="str">
        <f>IFERROR(INDEX(City_Lookup!$E$2:$E$66,MATCH($G284,City_Lookup!$D$2:$D$66,0)),"Not Available")</f>
        <v>Karnali</v>
      </c>
      <c r="I284" s="2" t="s">
        <v>28</v>
      </c>
      <c r="J284" s="2" t="s">
        <v>29</v>
      </c>
      <c r="K284" s="2" t="s">
        <v>250</v>
      </c>
      <c r="L284" s="2"/>
      <c r="M284" s="2" t="s">
        <v>250</v>
      </c>
      <c r="N284" s="2" t="s">
        <v>1193</v>
      </c>
      <c r="O284" s="2">
        <v>1</v>
      </c>
      <c r="P284" s="2" t="s">
        <v>1224</v>
      </c>
      <c r="Q284" s="2" t="s">
        <v>1225</v>
      </c>
      <c r="R284" s="2" t="s">
        <v>33</v>
      </c>
      <c r="S284" s="2" t="s">
        <v>27</v>
      </c>
      <c r="T284" s="2" t="s">
        <v>34</v>
      </c>
      <c r="U284" s="2" t="s">
        <v>35</v>
      </c>
      <c r="V284" s="2" t="s">
        <v>36</v>
      </c>
      <c r="W284" s="2" t="s">
        <v>37</v>
      </c>
      <c r="X284" s="4" t="s">
        <v>1224</v>
      </c>
      <c r="Y284" s="4" t="s">
        <v>2501</v>
      </c>
      <c r="Z284" t="str">
        <f t="shared" si="24"/>
        <v>977098510600</v>
      </c>
      <c r="AA284" t="str">
        <f t="shared" si="25"/>
        <v>098510600</v>
      </c>
      <c r="AB284" t="str">
        <f t="shared" si="26"/>
        <v>98510600</v>
      </c>
      <c r="AC284" t="str">
        <f t="shared" si="27"/>
        <v>+97798510600</v>
      </c>
      <c r="AD284" t="str">
        <f t="shared" si="28"/>
        <v>Landline</v>
      </c>
      <c r="AE284" t="str">
        <f t="shared" si="29"/>
        <v>Valid</v>
      </c>
    </row>
    <row r="285" spans="1:31" x14ac:dyDescent="0.3">
      <c r="A285" s="2" t="s">
        <v>1226</v>
      </c>
      <c r="B285" s="2" t="s">
        <v>1227</v>
      </c>
      <c r="C285" s="2" t="s">
        <v>1228</v>
      </c>
      <c r="D285" s="2" t="s">
        <v>1229</v>
      </c>
      <c r="E285" s="2" t="s">
        <v>1228</v>
      </c>
      <c r="F285" s="2" t="s">
        <v>1228</v>
      </c>
      <c r="G285" s="5" t="str" cm="1">
        <f t="array" ref="G285">IFERROR(INDEX(City_Lookup!$B$2:$B$297,MATCH(TRUE,ISNUMBER(SEARCH(City_Lookup!$A$2:$A$297,$F285&amp;" "&amp;$E285)),0)),"Not Available")</f>
        <v>Morang</v>
      </c>
      <c r="H285" s="5" t="str">
        <f>IFERROR(INDEX(City_Lookup!$E$2:$E$66,MATCH($G285,City_Lookup!$D$2:$D$66,0)),"Not Available")</f>
        <v>Koshi</v>
      </c>
      <c r="I285" s="2" t="s">
        <v>28</v>
      </c>
      <c r="J285" s="2" t="s">
        <v>29</v>
      </c>
      <c r="K285" s="2" t="s">
        <v>1230</v>
      </c>
      <c r="L285" s="2"/>
      <c r="M285" s="2" t="s">
        <v>1230</v>
      </c>
      <c r="N285" s="2" t="s">
        <v>1231</v>
      </c>
      <c r="O285" s="2">
        <v>1</v>
      </c>
      <c r="P285" s="2" t="s">
        <v>1232</v>
      </c>
      <c r="Q285" s="2" t="s">
        <v>1233</v>
      </c>
      <c r="R285" s="2" t="s">
        <v>33</v>
      </c>
      <c r="S285" s="2" t="s">
        <v>27</v>
      </c>
      <c r="T285" s="2" t="s">
        <v>34</v>
      </c>
      <c r="U285" s="2" t="s">
        <v>35</v>
      </c>
      <c r="V285" s="2" t="s">
        <v>36</v>
      </c>
      <c r="W285" s="2" t="s">
        <v>37</v>
      </c>
      <c r="X285" s="4" t="s">
        <v>1232</v>
      </c>
      <c r="Y285" s="4" t="s">
        <v>2501</v>
      </c>
      <c r="Z285" t="str">
        <f t="shared" si="24"/>
        <v>9779851146835</v>
      </c>
      <c r="AA285" t="str">
        <f t="shared" si="25"/>
        <v>9851146835</v>
      </c>
      <c r="AB285" t="str">
        <f t="shared" si="26"/>
        <v>9851146835</v>
      </c>
      <c r="AC285" t="str">
        <f t="shared" si="27"/>
        <v>+9779851146835</v>
      </c>
      <c r="AD285" t="str">
        <f t="shared" si="28"/>
        <v>Mobile</v>
      </c>
      <c r="AE285" t="str">
        <f t="shared" si="29"/>
        <v>Valid</v>
      </c>
    </row>
    <row r="286" spans="1:31" x14ac:dyDescent="0.3">
      <c r="A286" s="2" t="s">
        <v>1234</v>
      </c>
      <c r="B286" s="2" t="s">
        <v>1235</v>
      </c>
      <c r="C286" s="2" t="s">
        <v>1236</v>
      </c>
      <c r="D286" s="2" t="s">
        <v>1229</v>
      </c>
      <c r="E286" s="2" t="s">
        <v>1236</v>
      </c>
      <c r="F286" s="2" t="s">
        <v>1236</v>
      </c>
      <c r="G286" s="5" t="str" cm="1">
        <f t="array" ref="G286">IFERROR(INDEX(City_Lookup!$B$2:$B$297,MATCH(TRUE,ISNUMBER(SEARCH(City_Lookup!$A$2:$A$297,$F286&amp;" "&amp;$E286)),0)),"Not Available")</f>
        <v>Dhanusha</v>
      </c>
      <c r="H286" s="5" t="str">
        <f>IFERROR(INDEX(City_Lookup!$E$2:$E$66,MATCH($G286,City_Lookup!$D$2:$D$66,0)),"Not Available")</f>
        <v>Madhesh</v>
      </c>
      <c r="I286" s="2" t="s">
        <v>28</v>
      </c>
      <c r="J286" s="2" t="s">
        <v>29</v>
      </c>
      <c r="K286" s="2" t="s">
        <v>1230</v>
      </c>
      <c r="L286" s="2"/>
      <c r="M286" s="2" t="s">
        <v>1230</v>
      </c>
      <c r="N286" s="2" t="s">
        <v>1231</v>
      </c>
      <c r="O286" s="2">
        <v>1</v>
      </c>
      <c r="P286" s="2" t="s">
        <v>1237</v>
      </c>
      <c r="Q286" s="2" t="s">
        <v>1238</v>
      </c>
      <c r="R286" s="2" t="s">
        <v>33</v>
      </c>
      <c r="S286" s="2" t="s">
        <v>27</v>
      </c>
      <c r="T286" s="2" t="s">
        <v>34</v>
      </c>
      <c r="U286" s="2" t="s">
        <v>35</v>
      </c>
      <c r="V286" s="2" t="s">
        <v>36</v>
      </c>
      <c r="W286" s="2" t="s">
        <v>37</v>
      </c>
      <c r="X286" s="4" t="s">
        <v>1237</v>
      </c>
      <c r="Y286" s="4" t="s">
        <v>2501</v>
      </c>
      <c r="Z286" t="str">
        <f t="shared" si="24"/>
        <v>9779851360847</v>
      </c>
      <c r="AA286" t="str">
        <f t="shared" si="25"/>
        <v>9851360847</v>
      </c>
      <c r="AB286" t="str">
        <f t="shared" si="26"/>
        <v>9851360847</v>
      </c>
      <c r="AC286" t="str">
        <f t="shared" si="27"/>
        <v>+9779851360847</v>
      </c>
      <c r="AD286" t="str">
        <f t="shared" si="28"/>
        <v>Mobile</v>
      </c>
      <c r="AE286" t="str">
        <f t="shared" si="29"/>
        <v>Valid</v>
      </c>
    </row>
    <row r="287" spans="1:31" x14ac:dyDescent="0.3">
      <c r="A287" s="2" t="s">
        <v>1239</v>
      </c>
      <c r="B287" s="2" t="s">
        <v>1240</v>
      </c>
      <c r="C287" s="2" t="s">
        <v>1241</v>
      </c>
      <c r="D287" s="2" t="s">
        <v>1229</v>
      </c>
      <c r="E287" s="2" t="s">
        <v>1241</v>
      </c>
      <c r="F287" s="2" t="s">
        <v>1241</v>
      </c>
      <c r="G287" s="5" t="str" cm="1">
        <f t="array" ref="G287">IFERROR(INDEX(City_Lookup!$B$2:$B$297,MATCH(TRUE,ISNUMBER(SEARCH(City_Lookup!$A$2:$A$297,$F287&amp;" "&amp;$E287)),0)),"Not Available")</f>
        <v>Saptari</v>
      </c>
      <c r="H287" s="5" t="str">
        <f>IFERROR(INDEX(City_Lookup!$E$2:$E$66,MATCH($G287,City_Lookup!$D$2:$D$66,0)),"Not Available")</f>
        <v>Madhesh</v>
      </c>
      <c r="I287" s="2" t="s">
        <v>28</v>
      </c>
      <c r="J287" s="2" t="s">
        <v>29</v>
      </c>
      <c r="K287" s="2" t="s">
        <v>1230</v>
      </c>
      <c r="L287" s="2"/>
      <c r="M287" s="2" t="s">
        <v>1230</v>
      </c>
      <c r="N287" s="2" t="s">
        <v>1231</v>
      </c>
      <c r="O287" s="2">
        <v>1</v>
      </c>
      <c r="P287" s="2" t="s">
        <v>1237</v>
      </c>
      <c r="Q287" s="2" t="s">
        <v>1242</v>
      </c>
      <c r="R287" s="2" t="s">
        <v>33</v>
      </c>
      <c r="S287" s="2" t="s">
        <v>27</v>
      </c>
      <c r="T287" s="2" t="s">
        <v>34</v>
      </c>
      <c r="U287" s="2" t="s">
        <v>35</v>
      </c>
      <c r="V287" s="2" t="s">
        <v>36</v>
      </c>
      <c r="W287" s="2" t="s">
        <v>37</v>
      </c>
      <c r="X287" s="4" t="s">
        <v>1237</v>
      </c>
      <c r="Y287" s="4" t="s">
        <v>2501</v>
      </c>
      <c r="Z287" t="str">
        <f t="shared" si="24"/>
        <v>9779851360847</v>
      </c>
      <c r="AA287" t="str">
        <f t="shared" si="25"/>
        <v>9851360847</v>
      </c>
      <c r="AB287" t="str">
        <f t="shared" si="26"/>
        <v>9851360847</v>
      </c>
      <c r="AC287" t="str">
        <f t="shared" si="27"/>
        <v>+9779851360847</v>
      </c>
      <c r="AD287" t="str">
        <f t="shared" si="28"/>
        <v>Mobile</v>
      </c>
      <c r="AE287" t="str">
        <f t="shared" si="29"/>
        <v>Valid</v>
      </c>
    </row>
    <row r="288" spans="1:31" x14ac:dyDescent="0.3">
      <c r="A288" s="2" t="s">
        <v>1243</v>
      </c>
      <c r="B288" s="2" t="s">
        <v>1244</v>
      </c>
      <c r="C288" s="2" t="s">
        <v>1245</v>
      </c>
      <c r="D288" s="2" t="s">
        <v>1229</v>
      </c>
      <c r="E288" s="2" t="s">
        <v>1245</v>
      </c>
      <c r="F288" s="2" t="s">
        <v>1245</v>
      </c>
      <c r="G288" s="5" t="str" cm="1">
        <f t="array" ref="G288">IFERROR(INDEX(City_Lookup!$B$2:$B$297,MATCH(TRUE,ISNUMBER(SEARCH(City_Lookup!$A$2:$A$297,$F288&amp;" "&amp;$E288)),0)),"Not Available")</f>
        <v>Dhading</v>
      </c>
      <c r="H288" s="5" t="str">
        <f>IFERROR(INDEX(City_Lookup!$E$2:$E$66,MATCH($G288,City_Lookup!$D$2:$D$66,0)),"Not Available")</f>
        <v>Bagmati</v>
      </c>
      <c r="I288" s="2" t="s">
        <v>28</v>
      </c>
      <c r="J288" s="2" t="s">
        <v>29</v>
      </c>
      <c r="K288" s="2" t="s">
        <v>1230</v>
      </c>
      <c r="L288" s="2"/>
      <c r="M288" s="2" t="s">
        <v>1230</v>
      </c>
      <c r="N288" s="2" t="s">
        <v>1231</v>
      </c>
      <c r="O288" s="2">
        <v>1</v>
      </c>
      <c r="P288" s="2" t="s">
        <v>1237</v>
      </c>
      <c r="Q288" s="2" t="s">
        <v>1246</v>
      </c>
      <c r="R288" s="2" t="s">
        <v>33</v>
      </c>
      <c r="S288" s="2" t="s">
        <v>27</v>
      </c>
      <c r="T288" s="2" t="s">
        <v>34</v>
      </c>
      <c r="U288" s="2" t="s">
        <v>35</v>
      </c>
      <c r="V288" s="2" t="s">
        <v>36</v>
      </c>
      <c r="W288" s="2" t="s">
        <v>37</v>
      </c>
      <c r="X288" s="4" t="s">
        <v>1237</v>
      </c>
      <c r="Y288" s="4" t="s">
        <v>2501</v>
      </c>
      <c r="Z288" t="str">
        <f t="shared" si="24"/>
        <v>9779851360847</v>
      </c>
      <c r="AA288" t="str">
        <f t="shared" si="25"/>
        <v>9851360847</v>
      </c>
      <c r="AB288" t="str">
        <f t="shared" si="26"/>
        <v>9851360847</v>
      </c>
      <c r="AC288" t="str">
        <f t="shared" si="27"/>
        <v>+9779851360847</v>
      </c>
      <c r="AD288" t="str">
        <f t="shared" si="28"/>
        <v>Mobile</v>
      </c>
      <c r="AE288" t="str">
        <f t="shared" si="29"/>
        <v>Valid</v>
      </c>
    </row>
    <row r="289" spans="1:31" x14ac:dyDescent="0.3">
      <c r="A289" s="2" t="s">
        <v>1247</v>
      </c>
      <c r="B289" s="2" t="s">
        <v>1248</v>
      </c>
      <c r="C289" s="2" t="s">
        <v>1249</v>
      </c>
      <c r="D289" s="2" t="s">
        <v>1229</v>
      </c>
      <c r="E289" s="2" t="s">
        <v>1249</v>
      </c>
      <c r="F289" s="2" t="s">
        <v>1249</v>
      </c>
      <c r="G289" s="5" t="str" cm="1">
        <f t="array" ref="G289">IFERROR(INDEX(City_Lookup!$B$2:$B$297,MATCH(TRUE,ISNUMBER(SEARCH(City_Lookup!$A$2:$A$297,$F289&amp;" "&amp;$E289)),0)),"Not Available")</f>
        <v>Chitwan</v>
      </c>
      <c r="H289" s="5" t="str">
        <f>IFERROR(INDEX(City_Lookup!$E$2:$E$66,MATCH($G289,City_Lookup!$D$2:$D$66,0)),"Not Available")</f>
        <v>Bagmati</v>
      </c>
      <c r="I289" s="2" t="s">
        <v>28</v>
      </c>
      <c r="J289" s="2" t="s">
        <v>29</v>
      </c>
      <c r="K289" s="2" t="s">
        <v>1230</v>
      </c>
      <c r="L289" s="2"/>
      <c r="M289" s="2" t="s">
        <v>1230</v>
      </c>
      <c r="N289" s="2" t="s">
        <v>1231</v>
      </c>
      <c r="O289" s="2">
        <v>1</v>
      </c>
      <c r="P289" s="2" t="s">
        <v>1237</v>
      </c>
      <c r="Q289" s="2" t="s">
        <v>1250</v>
      </c>
      <c r="R289" s="2" t="s">
        <v>33</v>
      </c>
      <c r="S289" s="2" t="s">
        <v>27</v>
      </c>
      <c r="T289" s="2" t="s">
        <v>34</v>
      </c>
      <c r="U289" s="2" t="s">
        <v>35</v>
      </c>
      <c r="V289" s="2" t="s">
        <v>36</v>
      </c>
      <c r="W289" s="2" t="s">
        <v>37</v>
      </c>
      <c r="X289" s="4" t="s">
        <v>1237</v>
      </c>
      <c r="Y289" s="4" t="s">
        <v>2501</v>
      </c>
      <c r="Z289" t="str">
        <f t="shared" si="24"/>
        <v>9779851360847</v>
      </c>
      <c r="AA289" t="str">
        <f t="shared" si="25"/>
        <v>9851360847</v>
      </c>
      <c r="AB289" t="str">
        <f t="shared" si="26"/>
        <v>9851360847</v>
      </c>
      <c r="AC289" t="str">
        <f t="shared" si="27"/>
        <v>+9779851360847</v>
      </c>
      <c r="AD289" t="str">
        <f t="shared" si="28"/>
        <v>Mobile</v>
      </c>
      <c r="AE289" t="str">
        <f t="shared" si="29"/>
        <v>Valid</v>
      </c>
    </row>
    <row r="290" spans="1:31" x14ac:dyDescent="0.3">
      <c r="A290" s="2" t="s">
        <v>1251</v>
      </c>
      <c r="B290" s="2" t="s">
        <v>1252</v>
      </c>
      <c r="C290" s="2" t="s">
        <v>1253</v>
      </c>
      <c r="D290" s="2" t="s">
        <v>1229</v>
      </c>
      <c r="E290" s="2" t="s">
        <v>1253</v>
      </c>
      <c r="F290" s="2" t="s">
        <v>1253</v>
      </c>
      <c r="G290" s="5" t="str" cm="1">
        <f t="array" ref="G290">IFERROR(INDEX(City_Lookup!$B$2:$B$297,MATCH(TRUE,ISNUMBER(SEARCH(City_Lookup!$A$2:$A$297,$F290&amp;" "&amp;$E290)),0)),"Not Available")</f>
        <v>Chitwan</v>
      </c>
      <c r="H290" s="5" t="str">
        <f>IFERROR(INDEX(City_Lookup!$E$2:$E$66,MATCH($G290,City_Lookup!$D$2:$D$66,0)),"Not Available")</f>
        <v>Bagmati</v>
      </c>
      <c r="I290" s="2" t="s">
        <v>28</v>
      </c>
      <c r="J290" s="2" t="s">
        <v>29</v>
      </c>
      <c r="K290" s="2" t="s">
        <v>1230</v>
      </c>
      <c r="L290" s="2"/>
      <c r="M290" s="2" t="s">
        <v>1230</v>
      </c>
      <c r="N290" s="2" t="s">
        <v>1231</v>
      </c>
      <c r="O290" s="2">
        <v>1</v>
      </c>
      <c r="P290" s="2" t="s">
        <v>1237</v>
      </c>
      <c r="Q290" s="2" t="s">
        <v>1254</v>
      </c>
      <c r="R290" s="2" t="s">
        <v>33</v>
      </c>
      <c r="S290" s="2" t="s">
        <v>27</v>
      </c>
      <c r="T290" s="2" t="s">
        <v>34</v>
      </c>
      <c r="U290" s="2" t="s">
        <v>35</v>
      </c>
      <c r="V290" s="2" t="s">
        <v>36</v>
      </c>
      <c r="W290" s="2" t="s">
        <v>37</v>
      </c>
      <c r="X290" s="4" t="s">
        <v>1237</v>
      </c>
      <c r="Y290" s="4" t="s">
        <v>2501</v>
      </c>
      <c r="Z290" t="str">
        <f t="shared" si="24"/>
        <v>9779851360847</v>
      </c>
      <c r="AA290" t="str">
        <f t="shared" si="25"/>
        <v>9851360847</v>
      </c>
      <c r="AB290" t="str">
        <f t="shared" si="26"/>
        <v>9851360847</v>
      </c>
      <c r="AC290" t="str">
        <f t="shared" si="27"/>
        <v>+9779851360847</v>
      </c>
      <c r="AD290" t="str">
        <f t="shared" si="28"/>
        <v>Mobile</v>
      </c>
      <c r="AE290" t="str">
        <f t="shared" si="29"/>
        <v>Valid</v>
      </c>
    </row>
    <row r="291" spans="1:31" x14ac:dyDescent="0.3">
      <c r="A291" s="2" t="s">
        <v>1255</v>
      </c>
      <c r="B291" s="2" t="s">
        <v>1256</v>
      </c>
      <c r="C291" s="2" t="s">
        <v>1257</v>
      </c>
      <c r="D291" s="2" t="s">
        <v>1258</v>
      </c>
      <c r="E291" s="2" t="s">
        <v>1257</v>
      </c>
      <c r="F291" s="2" t="s">
        <v>1257</v>
      </c>
      <c r="G291" s="5" t="str" cm="1">
        <f t="array" ref="G291">IFERROR(INDEX(City_Lookup!$B$2:$B$297,MATCH(TRUE,ISNUMBER(SEARCH(City_Lookup!$A$2:$A$297,$F291&amp;" "&amp;$E291)),0)),"Not Available")</f>
        <v>Dhading</v>
      </c>
      <c r="H291" s="5" t="str">
        <f>IFERROR(INDEX(City_Lookup!$E$2:$E$66,MATCH($G291,City_Lookup!$D$2:$D$66,0)),"Not Available")</f>
        <v>Bagmati</v>
      </c>
      <c r="I291" s="2" t="s">
        <v>1259</v>
      </c>
      <c r="J291" s="2" t="s">
        <v>29</v>
      </c>
      <c r="K291" s="2" t="s">
        <v>1230</v>
      </c>
      <c r="L291" s="2"/>
      <c r="M291" s="2" t="s">
        <v>1230</v>
      </c>
      <c r="N291" s="2" t="s">
        <v>1260</v>
      </c>
      <c r="O291" s="2">
        <v>1</v>
      </c>
      <c r="P291" s="2" t="s">
        <v>1261</v>
      </c>
      <c r="Q291" s="2" t="s">
        <v>1262</v>
      </c>
      <c r="R291" s="2" t="s">
        <v>33</v>
      </c>
      <c r="S291" s="2" t="s">
        <v>27</v>
      </c>
      <c r="T291" s="2" t="s">
        <v>34</v>
      </c>
      <c r="U291" s="2" t="s">
        <v>35</v>
      </c>
      <c r="V291" s="2" t="s">
        <v>36</v>
      </c>
      <c r="W291" s="2" t="s">
        <v>37</v>
      </c>
      <c r="X291" s="4" t="s">
        <v>1261</v>
      </c>
      <c r="Y291" s="4" t="s">
        <v>2501</v>
      </c>
      <c r="Z291" t="str">
        <f t="shared" si="24"/>
        <v>9779801859655</v>
      </c>
      <c r="AA291" t="str">
        <f t="shared" si="25"/>
        <v>9801859655</v>
      </c>
      <c r="AB291" t="str">
        <f t="shared" si="26"/>
        <v>9801859655</v>
      </c>
      <c r="AC291" t="str">
        <f t="shared" si="27"/>
        <v>+9779801859655</v>
      </c>
      <c r="AD291" t="str">
        <f t="shared" si="28"/>
        <v>Mobile</v>
      </c>
      <c r="AE291" t="str">
        <f t="shared" si="29"/>
        <v>Valid</v>
      </c>
    </row>
    <row r="292" spans="1:31" x14ac:dyDescent="0.3">
      <c r="A292" s="2" t="s">
        <v>1263</v>
      </c>
      <c r="B292" s="2" t="s">
        <v>1264</v>
      </c>
      <c r="C292" s="2" t="s">
        <v>1265</v>
      </c>
      <c r="D292" s="2" t="s">
        <v>1258</v>
      </c>
      <c r="E292" s="2" t="s">
        <v>1265</v>
      </c>
      <c r="F292" s="2" t="s">
        <v>1265</v>
      </c>
      <c r="G292" s="5" t="str" cm="1">
        <f t="array" ref="G292">IFERROR(INDEX(City_Lookup!$B$2:$B$297,MATCH(TRUE,ISNUMBER(SEARCH(City_Lookup!$A$2:$A$297,$F292&amp;" "&amp;$E292)),0)),"Not Available")</f>
        <v>Sindhuli</v>
      </c>
      <c r="H292" s="5" t="str">
        <f>IFERROR(INDEX(City_Lookup!$E$2:$E$66,MATCH($G292,City_Lookup!$D$2:$D$66,0)),"Not Available")</f>
        <v>Bagmati</v>
      </c>
      <c r="I292" s="2" t="s">
        <v>28</v>
      </c>
      <c r="J292" s="2" t="s">
        <v>29</v>
      </c>
      <c r="K292" s="2" t="s">
        <v>1230</v>
      </c>
      <c r="L292" s="2"/>
      <c r="M292" s="2" t="s">
        <v>1230</v>
      </c>
      <c r="N292" s="2" t="s">
        <v>1231</v>
      </c>
      <c r="O292" s="2">
        <v>1</v>
      </c>
      <c r="P292" s="2" t="s">
        <v>1266</v>
      </c>
      <c r="Q292" s="2" t="s">
        <v>1267</v>
      </c>
      <c r="R292" s="2" t="s">
        <v>33</v>
      </c>
      <c r="S292" s="2" t="s">
        <v>27</v>
      </c>
      <c r="T292" s="2" t="s">
        <v>34</v>
      </c>
      <c r="U292" s="2" t="s">
        <v>35</v>
      </c>
      <c r="V292" s="2" t="s">
        <v>36</v>
      </c>
      <c r="W292" s="2" t="s">
        <v>37</v>
      </c>
      <c r="X292" s="4" t="s">
        <v>1266</v>
      </c>
      <c r="Y292" s="4" t="s">
        <v>2501</v>
      </c>
      <c r="Z292" t="str">
        <f t="shared" si="24"/>
        <v>9779851007580</v>
      </c>
      <c r="AA292" t="str">
        <f t="shared" si="25"/>
        <v>9851007580</v>
      </c>
      <c r="AB292" t="str">
        <f t="shared" si="26"/>
        <v>9851007580</v>
      </c>
      <c r="AC292" t="str">
        <f t="shared" si="27"/>
        <v>+9779851007580</v>
      </c>
      <c r="AD292" t="str">
        <f t="shared" si="28"/>
        <v>Mobile</v>
      </c>
      <c r="AE292" t="str">
        <f t="shared" si="29"/>
        <v>Valid</v>
      </c>
    </row>
    <row r="293" spans="1:31" x14ac:dyDescent="0.3">
      <c r="A293" s="2" t="s">
        <v>1268</v>
      </c>
      <c r="B293" s="2" t="s">
        <v>1269</v>
      </c>
      <c r="C293" s="2" t="s">
        <v>1011</v>
      </c>
      <c r="D293" s="2" t="s">
        <v>1258</v>
      </c>
      <c r="E293" s="2" t="s">
        <v>1011</v>
      </c>
      <c r="F293" s="2" t="s">
        <v>1011</v>
      </c>
      <c r="G293" s="5" t="str" cm="1">
        <f t="array" ref="G293">IFERROR(INDEX(City_Lookup!$B$2:$B$297,MATCH(TRUE,ISNUMBER(SEARCH(City_Lookup!$A$2:$A$297,$F293&amp;" "&amp;$E293)),0)),"Not Available")</f>
        <v>Nawalpur</v>
      </c>
      <c r="H293" s="5" t="str">
        <f>IFERROR(INDEX(City_Lookup!$E$2:$E$66,MATCH($G293,City_Lookup!$D$2:$D$66,0)),"Not Available")</f>
        <v>Gandaki</v>
      </c>
      <c r="I293" s="2" t="s">
        <v>28</v>
      </c>
      <c r="J293" s="2" t="s">
        <v>29</v>
      </c>
      <c r="K293" s="2" t="s">
        <v>1230</v>
      </c>
      <c r="L293" s="2"/>
      <c r="M293" s="2" t="s">
        <v>1230</v>
      </c>
      <c r="N293" s="2" t="s">
        <v>1231</v>
      </c>
      <c r="O293" s="2">
        <v>1</v>
      </c>
      <c r="P293" s="2" t="s">
        <v>27</v>
      </c>
      <c r="Q293" s="2" t="s">
        <v>1270</v>
      </c>
      <c r="R293" s="2" t="s">
        <v>33</v>
      </c>
      <c r="S293" s="2" t="s">
        <v>27</v>
      </c>
      <c r="T293" s="2" t="s">
        <v>34</v>
      </c>
      <c r="U293" s="2" t="s">
        <v>35</v>
      </c>
      <c r="V293" s="2" t="s">
        <v>36</v>
      </c>
      <c r="W293" s="2" t="s">
        <v>37</v>
      </c>
      <c r="X293" s="6" t="s">
        <v>2486</v>
      </c>
      <c r="Y293" s="6" t="s">
        <v>2499</v>
      </c>
      <c r="Z293" t="str">
        <f t="shared" si="24"/>
        <v>97714153051</v>
      </c>
      <c r="AA293" t="str">
        <f t="shared" si="25"/>
        <v>14153051</v>
      </c>
      <c r="AB293" t="str">
        <f t="shared" si="26"/>
        <v>14153051</v>
      </c>
      <c r="AC293" t="str">
        <f t="shared" si="27"/>
        <v>+97714153051</v>
      </c>
      <c r="AD293" t="str">
        <f t="shared" si="28"/>
        <v>Landline</v>
      </c>
      <c r="AE293" t="str">
        <f t="shared" si="29"/>
        <v>Valid</v>
      </c>
    </row>
    <row r="294" spans="1:31" x14ac:dyDescent="0.3">
      <c r="A294" s="2" t="s">
        <v>1271</v>
      </c>
      <c r="B294" s="2" t="s">
        <v>1272</v>
      </c>
      <c r="C294" s="2" t="s">
        <v>75</v>
      </c>
      <c r="D294" s="2" t="s">
        <v>1258</v>
      </c>
      <c r="E294" s="2" t="s">
        <v>75</v>
      </c>
      <c r="F294" s="2" t="s">
        <v>75</v>
      </c>
      <c r="G294" s="5" t="str" cm="1">
        <f t="array" ref="G294">IFERROR(INDEX(City_Lookup!$B$2:$B$297,MATCH(TRUE,ISNUMBER(SEARCH(City_Lookup!$A$2:$A$297,$F294&amp;" "&amp;$E294)),0)),"Not Available")</f>
        <v>Chitwan</v>
      </c>
      <c r="H294" s="5" t="str">
        <f>IFERROR(INDEX(City_Lookup!$E$2:$E$66,MATCH($G294,City_Lookup!$D$2:$D$66,0)),"Not Available")</f>
        <v>Bagmati</v>
      </c>
      <c r="I294" s="2" t="s">
        <v>28</v>
      </c>
      <c r="J294" s="2" t="s">
        <v>39</v>
      </c>
      <c r="K294" s="2"/>
      <c r="L294" s="2" t="s">
        <v>356</v>
      </c>
      <c r="M294" s="2" t="s">
        <v>356</v>
      </c>
      <c r="N294" s="2" t="s">
        <v>1273</v>
      </c>
      <c r="O294" s="2">
        <v>1</v>
      </c>
      <c r="P294" s="2" t="s">
        <v>1274</v>
      </c>
      <c r="Q294" s="2" t="s">
        <v>1275</v>
      </c>
      <c r="R294" s="2" t="s">
        <v>33</v>
      </c>
      <c r="S294" s="2" t="s">
        <v>27</v>
      </c>
      <c r="T294" s="2" t="s">
        <v>34</v>
      </c>
      <c r="U294" s="2" t="s">
        <v>35</v>
      </c>
      <c r="V294" s="2" t="s">
        <v>36</v>
      </c>
      <c r="W294" s="2" t="s">
        <v>37</v>
      </c>
      <c r="X294" s="4" t="s">
        <v>1274</v>
      </c>
      <c r="Y294" s="4" t="s">
        <v>2501</v>
      </c>
      <c r="Z294" t="str">
        <f t="shared" si="24"/>
        <v>97756410010</v>
      </c>
      <c r="AA294" t="str">
        <f t="shared" si="25"/>
        <v>56410010</v>
      </c>
      <c r="AB294" t="str">
        <f t="shared" si="26"/>
        <v>56410010</v>
      </c>
      <c r="AC294" t="str">
        <f t="shared" si="27"/>
        <v>+97756410010</v>
      </c>
      <c r="AD294" t="str">
        <f t="shared" si="28"/>
        <v>Landline</v>
      </c>
      <c r="AE294" t="str">
        <f t="shared" si="29"/>
        <v>Valid</v>
      </c>
    </row>
    <row r="295" spans="1:31" x14ac:dyDescent="0.3">
      <c r="A295" s="2" t="s">
        <v>1276</v>
      </c>
      <c r="B295" s="2" t="s">
        <v>1277</v>
      </c>
      <c r="C295" s="2" t="s">
        <v>1278</v>
      </c>
      <c r="D295" s="2" t="s">
        <v>1258</v>
      </c>
      <c r="E295" s="2" t="s">
        <v>1278</v>
      </c>
      <c r="F295" s="2" t="s">
        <v>1278</v>
      </c>
      <c r="G295" s="5" t="str" cm="1">
        <f t="array" ref="G295">IFERROR(INDEX(City_Lookup!$B$2:$B$297,MATCH(TRUE,ISNUMBER(SEARCH(City_Lookup!$A$2:$A$297,$F295&amp;" "&amp;$E295)),0)),"Not Available")</f>
        <v>Sindhuli</v>
      </c>
      <c r="H295" s="5" t="str">
        <f>IFERROR(INDEX(City_Lookup!$E$2:$E$66,MATCH($G295,City_Lookup!$D$2:$D$66,0)),"Not Available")</f>
        <v>Bagmati</v>
      </c>
      <c r="I295" s="2" t="s">
        <v>663</v>
      </c>
      <c r="J295" s="2" t="s">
        <v>29</v>
      </c>
      <c r="K295" s="2" t="s">
        <v>1230</v>
      </c>
      <c r="L295" s="2"/>
      <c r="M295" s="2" t="s">
        <v>1230</v>
      </c>
      <c r="N295" s="2" t="s">
        <v>1279</v>
      </c>
      <c r="O295" s="2">
        <v>1</v>
      </c>
      <c r="P295" s="2" t="s">
        <v>1280</v>
      </c>
      <c r="Q295" s="2" t="s">
        <v>1281</v>
      </c>
      <c r="R295" s="2" t="s">
        <v>33</v>
      </c>
      <c r="S295" s="2" t="s">
        <v>27</v>
      </c>
      <c r="T295" s="2" t="s">
        <v>34</v>
      </c>
      <c r="U295" s="2" t="s">
        <v>35</v>
      </c>
      <c r="V295" s="2" t="s">
        <v>36</v>
      </c>
      <c r="W295" s="2" t="s">
        <v>37</v>
      </c>
      <c r="X295" s="4" t="s">
        <v>1280</v>
      </c>
      <c r="Y295" s="4" t="s">
        <v>2501</v>
      </c>
      <c r="Z295" t="str">
        <f t="shared" si="24"/>
        <v>9779841979722</v>
      </c>
      <c r="AA295" t="str">
        <f t="shared" si="25"/>
        <v>9841979722</v>
      </c>
      <c r="AB295" t="str">
        <f t="shared" si="26"/>
        <v>9841979722</v>
      </c>
      <c r="AC295" t="str">
        <f t="shared" si="27"/>
        <v>+9779841979722</v>
      </c>
      <c r="AD295" t="str">
        <f t="shared" si="28"/>
        <v>Mobile</v>
      </c>
      <c r="AE295" t="str">
        <f t="shared" si="29"/>
        <v>Valid</v>
      </c>
    </row>
    <row r="296" spans="1:31" x14ac:dyDescent="0.3">
      <c r="A296" s="2" t="s">
        <v>1282</v>
      </c>
      <c r="B296" s="2" t="s">
        <v>1283</v>
      </c>
      <c r="C296" s="2" t="s">
        <v>1284</v>
      </c>
      <c r="D296" s="2" t="s">
        <v>1258</v>
      </c>
      <c r="E296" s="2" t="s">
        <v>1284</v>
      </c>
      <c r="F296" s="2" t="s">
        <v>1284</v>
      </c>
      <c r="G296" s="5" t="str" cm="1">
        <f t="array" ref="G296">IFERROR(INDEX(City_Lookup!$B$2:$B$297,MATCH(TRUE,ISNUMBER(SEARCH(City_Lookup!$A$2:$A$297,$F296&amp;" "&amp;$E296)),0)),"Not Available")</f>
        <v>Banke</v>
      </c>
      <c r="H296" s="5" t="str">
        <f>IFERROR(INDEX(City_Lookup!$E$2:$E$66,MATCH($G296,City_Lookup!$D$2:$D$66,0)),"Not Available")</f>
        <v>Lumbini</v>
      </c>
      <c r="I296" s="2" t="s">
        <v>663</v>
      </c>
      <c r="J296" s="2" t="s">
        <v>29</v>
      </c>
      <c r="K296" s="2" t="s">
        <v>1230</v>
      </c>
      <c r="L296" s="2"/>
      <c r="M296" s="2" t="s">
        <v>1230</v>
      </c>
      <c r="N296" s="2" t="s">
        <v>1279</v>
      </c>
      <c r="O296" s="2">
        <v>1</v>
      </c>
      <c r="P296" s="2" t="s">
        <v>1285</v>
      </c>
      <c r="Q296" s="2" t="s">
        <v>1286</v>
      </c>
      <c r="R296" s="2" t="s">
        <v>33</v>
      </c>
      <c r="S296" s="2" t="s">
        <v>27</v>
      </c>
      <c r="T296" s="2" t="s">
        <v>34</v>
      </c>
      <c r="U296" s="2" t="s">
        <v>35</v>
      </c>
      <c r="V296" s="2" t="s">
        <v>36</v>
      </c>
      <c r="W296" s="2" t="s">
        <v>37</v>
      </c>
      <c r="X296" s="4" t="s">
        <v>1285</v>
      </c>
      <c r="Y296" s="4" t="s">
        <v>2501</v>
      </c>
      <c r="Z296" t="str">
        <f t="shared" si="24"/>
        <v>9779868268093</v>
      </c>
      <c r="AA296" t="str">
        <f t="shared" si="25"/>
        <v>9868268093</v>
      </c>
      <c r="AB296" t="str">
        <f t="shared" si="26"/>
        <v>9868268093</v>
      </c>
      <c r="AC296" t="str">
        <f t="shared" si="27"/>
        <v>+9779868268093</v>
      </c>
      <c r="AD296" t="str">
        <f t="shared" si="28"/>
        <v>Mobile</v>
      </c>
      <c r="AE296" t="str">
        <f t="shared" si="29"/>
        <v>Valid</v>
      </c>
    </row>
    <row r="297" spans="1:31" x14ac:dyDescent="0.3">
      <c r="A297" s="2" t="s">
        <v>1287</v>
      </c>
      <c r="B297" s="2" t="s">
        <v>1288</v>
      </c>
      <c r="C297" s="2" t="s">
        <v>1289</v>
      </c>
      <c r="D297" s="2" t="s">
        <v>1258</v>
      </c>
      <c r="E297" s="2" t="s">
        <v>1289</v>
      </c>
      <c r="F297" s="2" t="s">
        <v>1289</v>
      </c>
      <c r="G297" s="5" t="str" cm="1">
        <f t="array" ref="G297">IFERROR(INDEX(City_Lookup!$B$2:$B$297,MATCH(TRUE,ISNUMBER(SEARCH(City_Lookup!$A$2:$A$297,$F297&amp;" "&amp;$E297)),0)),"Not Available")</f>
        <v>Sindhuli</v>
      </c>
      <c r="H297" s="5" t="str">
        <f>IFERROR(INDEX(City_Lookup!$E$2:$E$66,MATCH($G297,City_Lookup!$D$2:$D$66,0)),"Not Available")</f>
        <v>Bagmati</v>
      </c>
      <c r="I297" s="2" t="s">
        <v>663</v>
      </c>
      <c r="J297" s="2" t="s">
        <v>29</v>
      </c>
      <c r="K297" s="2" t="s">
        <v>250</v>
      </c>
      <c r="L297" s="2"/>
      <c r="M297" s="2" t="s">
        <v>250</v>
      </c>
      <c r="N297" s="2" t="s">
        <v>1290</v>
      </c>
      <c r="O297" s="2">
        <v>1</v>
      </c>
      <c r="P297" s="2" t="s">
        <v>1291</v>
      </c>
      <c r="Q297" s="2" t="s">
        <v>1292</v>
      </c>
      <c r="R297" s="2" t="s">
        <v>33</v>
      </c>
      <c r="S297" s="2" t="s">
        <v>27</v>
      </c>
      <c r="T297" s="2" t="s">
        <v>34</v>
      </c>
      <c r="U297" s="2" t="s">
        <v>35</v>
      </c>
      <c r="V297" s="2" t="s">
        <v>36</v>
      </c>
      <c r="W297" s="2" t="s">
        <v>37</v>
      </c>
      <c r="X297" s="4" t="s">
        <v>1291</v>
      </c>
      <c r="Y297" s="4" t="s">
        <v>2501</v>
      </c>
      <c r="Z297" t="str">
        <f t="shared" si="24"/>
        <v>9779803078941</v>
      </c>
      <c r="AA297" t="str">
        <f t="shared" si="25"/>
        <v>9803078941</v>
      </c>
      <c r="AB297" t="str">
        <f t="shared" si="26"/>
        <v>9803078941</v>
      </c>
      <c r="AC297" t="str">
        <f t="shared" si="27"/>
        <v>+9779803078941</v>
      </c>
      <c r="AD297" t="str">
        <f t="shared" si="28"/>
        <v>Mobile</v>
      </c>
      <c r="AE297" t="str">
        <f t="shared" si="29"/>
        <v>Valid</v>
      </c>
    </row>
    <row r="298" spans="1:31" x14ac:dyDescent="0.3">
      <c r="A298" s="2" t="s">
        <v>1293</v>
      </c>
      <c r="B298" s="2" t="s">
        <v>1294</v>
      </c>
      <c r="C298" s="2" t="s">
        <v>943</v>
      </c>
      <c r="D298" s="2" t="s">
        <v>1258</v>
      </c>
      <c r="E298" s="2" t="s">
        <v>943</v>
      </c>
      <c r="F298" s="2" t="s">
        <v>943</v>
      </c>
      <c r="G298" s="5" t="str" cm="1">
        <f t="array" ref="G298">IFERROR(INDEX(City_Lookup!$B$2:$B$297,MATCH(TRUE,ISNUMBER(SEARCH(City_Lookup!$A$2:$A$297,$F298&amp;" "&amp;$E298)),0)),"Not Available")</f>
        <v>Udayapur</v>
      </c>
      <c r="H298" s="5" t="str">
        <f>IFERROR(INDEX(City_Lookup!$E$2:$E$66,MATCH($G298,City_Lookup!$D$2:$D$66,0)),"Not Available")</f>
        <v>Koshi</v>
      </c>
      <c r="I298" s="2" t="s">
        <v>663</v>
      </c>
      <c r="J298" s="2" t="s">
        <v>29</v>
      </c>
      <c r="K298" s="2" t="s">
        <v>250</v>
      </c>
      <c r="L298" s="2"/>
      <c r="M298" s="2" t="s">
        <v>250</v>
      </c>
      <c r="N298" s="2" t="s">
        <v>1290</v>
      </c>
      <c r="O298" s="2">
        <v>1</v>
      </c>
      <c r="P298" s="2" t="s">
        <v>1295</v>
      </c>
      <c r="Q298" s="2" t="s">
        <v>944</v>
      </c>
      <c r="R298" s="2" t="s">
        <v>33</v>
      </c>
      <c r="S298" s="2" t="s">
        <v>27</v>
      </c>
      <c r="T298" s="2" t="s">
        <v>34</v>
      </c>
      <c r="U298" s="2" t="s">
        <v>35</v>
      </c>
      <c r="V298" s="2" t="s">
        <v>36</v>
      </c>
      <c r="W298" s="2" t="s">
        <v>37</v>
      </c>
      <c r="X298" s="4" t="s">
        <v>1295</v>
      </c>
      <c r="Y298" s="4" t="s">
        <v>2501</v>
      </c>
      <c r="Z298" t="str">
        <f t="shared" si="24"/>
        <v>9779861208465</v>
      </c>
      <c r="AA298" t="str">
        <f t="shared" si="25"/>
        <v>9861208465</v>
      </c>
      <c r="AB298" t="str">
        <f t="shared" si="26"/>
        <v>9861208465</v>
      </c>
      <c r="AC298" t="str">
        <f t="shared" si="27"/>
        <v>+9779861208465</v>
      </c>
      <c r="AD298" t="str">
        <f t="shared" si="28"/>
        <v>Mobile</v>
      </c>
      <c r="AE298" t="str">
        <f t="shared" si="29"/>
        <v>Valid</v>
      </c>
    </row>
    <row r="299" spans="1:31" x14ac:dyDescent="0.3">
      <c r="A299" s="2" t="s">
        <v>1296</v>
      </c>
      <c r="B299" s="2" t="s">
        <v>1297</v>
      </c>
      <c r="C299" s="2" t="s">
        <v>1298</v>
      </c>
      <c r="D299" s="2" t="s">
        <v>1258</v>
      </c>
      <c r="E299" s="2" t="s">
        <v>1298</v>
      </c>
      <c r="F299" s="2" t="s">
        <v>1298</v>
      </c>
      <c r="G299" s="5" t="str" cm="1">
        <f t="array" ref="G299">IFERROR(INDEX(City_Lookup!$B$2:$B$297,MATCH(TRUE,ISNUMBER(SEARCH(City_Lookup!$A$2:$A$297,$F299&amp;" "&amp;$E299)),0)),"Not Available")</f>
        <v>Arghakhanchi</v>
      </c>
      <c r="H299" s="5" t="str">
        <f>IFERROR(INDEX(City_Lookup!$E$2:$E$66,MATCH($G299,City_Lookup!$D$2:$D$66,0)),"Not Available")</f>
        <v>Lumbini</v>
      </c>
      <c r="I299" s="2" t="s">
        <v>663</v>
      </c>
      <c r="J299" s="2" t="s">
        <v>29</v>
      </c>
      <c r="K299" s="2" t="s">
        <v>250</v>
      </c>
      <c r="L299" s="2"/>
      <c r="M299" s="2" t="s">
        <v>250</v>
      </c>
      <c r="N299" s="2" t="s">
        <v>1290</v>
      </c>
      <c r="O299" s="2">
        <v>1</v>
      </c>
      <c r="P299" s="2" t="s">
        <v>1299</v>
      </c>
      <c r="Q299" s="2" t="s">
        <v>1300</v>
      </c>
      <c r="R299" s="2" t="s">
        <v>33</v>
      </c>
      <c r="S299" s="2" t="s">
        <v>27</v>
      </c>
      <c r="T299" s="2" t="s">
        <v>34</v>
      </c>
      <c r="U299" s="2" t="s">
        <v>35</v>
      </c>
      <c r="V299" s="2" t="s">
        <v>36</v>
      </c>
      <c r="W299" s="2" t="s">
        <v>37</v>
      </c>
      <c r="X299" s="4" t="s">
        <v>1299</v>
      </c>
      <c r="Y299" s="4" t="s">
        <v>2501</v>
      </c>
      <c r="Z299" t="str">
        <f t="shared" si="24"/>
        <v>9779847412987</v>
      </c>
      <c r="AA299" t="str">
        <f t="shared" si="25"/>
        <v>9847412987</v>
      </c>
      <c r="AB299" t="str">
        <f t="shared" si="26"/>
        <v>9847412987</v>
      </c>
      <c r="AC299" t="str">
        <f t="shared" si="27"/>
        <v>+9779847412987</v>
      </c>
      <c r="AD299" t="str">
        <f t="shared" si="28"/>
        <v>Mobile</v>
      </c>
      <c r="AE299" t="str">
        <f t="shared" si="29"/>
        <v>Valid</v>
      </c>
    </row>
    <row r="300" spans="1:31" x14ac:dyDescent="0.3">
      <c r="A300" s="2" t="s">
        <v>1301</v>
      </c>
      <c r="B300" s="2" t="s">
        <v>1302</v>
      </c>
      <c r="C300" s="2" t="s">
        <v>1303</v>
      </c>
      <c r="D300" s="2" t="s">
        <v>1258</v>
      </c>
      <c r="E300" s="2" t="s">
        <v>1303</v>
      </c>
      <c r="F300" s="2" t="s">
        <v>1303</v>
      </c>
      <c r="G300" s="5" t="str" cm="1">
        <f t="array" ref="G300">IFERROR(INDEX(City_Lookup!$B$2:$B$297,MATCH(TRUE,ISNUMBER(SEARCH(City_Lookup!$A$2:$A$297,$F300&amp;" "&amp;$E300)),0)),"Not Available")</f>
        <v>Arghakhanchi</v>
      </c>
      <c r="H300" s="5" t="str">
        <f>IFERROR(INDEX(City_Lookup!$E$2:$E$66,MATCH($G300,City_Lookup!$D$2:$D$66,0)),"Not Available")</f>
        <v>Lumbini</v>
      </c>
      <c r="I300" s="2" t="s">
        <v>663</v>
      </c>
      <c r="J300" s="2" t="s">
        <v>29</v>
      </c>
      <c r="K300" s="2" t="s">
        <v>250</v>
      </c>
      <c r="L300" s="2"/>
      <c r="M300" s="2" t="s">
        <v>250</v>
      </c>
      <c r="N300" s="2" t="s">
        <v>1290</v>
      </c>
      <c r="O300" s="2">
        <v>1</v>
      </c>
      <c r="P300" s="2" t="s">
        <v>1299</v>
      </c>
      <c r="Q300" s="2" t="s">
        <v>1304</v>
      </c>
      <c r="R300" s="2" t="s">
        <v>33</v>
      </c>
      <c r="S300" s="2" t="s">
        <v>27</v>
      </c>
      <c r="T300" s="2" t="s">
        <v>34</v>
      </c>
      <c r="U300" s="2" t="s">
        <v>35</v>
      </c>
      <c r="V300" s="2" t="s">
        <v>36</v>
      </c>
      <c r="W300" s="2" t="s">
        <v>37</v>
      </c>
      <c r="X300" s="4" t="s">
        <v>1299</v>
      </c>
      <c r="Y300" s="4" t="s">
        <v>2501</v>
      </c>
      <c r="Z300" t="str">
        <f t="shared" si="24"/>
        <v>9779847412987</v>
      </c>
      <c r="AA300" t="str">
        <f t="shared" si="25"/>
        <v>9847412987</v>
      </c>
      <c r="AB300" t="str">
        <f t="shared" si="26"/>
        <v>9847412987</v>
      </c>
      <c r="AC300" t="str">
        <f t="shared" si="27"/>
        <v>+9779847412987</v>
      </c>
      <c r="AD300" t="str">
        <f t="shared" si="28"/>
        <v>Mobile</v>
      </c>
      <c r="AE300" t="str">
        <f t="shared" si="29"/>
        <v>Valid</v>
      </c>
    </row>
    <row r="301" spans="1:31" x14ac:dyDescent="0.3">
      <c r="A301" s="2" t="s">
        <v>1305</v>
      </c>
      <c r="B301" s="2" t="s">
        <v>1306</v>
      </c>
      <c r="C301" s="2" t="s">
        <v>1307</v>
      </c>
      <c r="D301" s="2" t="s">
        <v>1258</v>
      </c>
      <c r="E301" s="2" t="s">
        <v>1307</v>
      </c>
      <c r="F301" s="2" t="s">
        <v>1307</v>
      </c>
      <c r="G301" s="5" t="str" cm="1">
        <f t="array" ref="G301">IFERROR(INDEX(City_Lookup!$B$2:$B$297,MATCH(TRUE,ISNUMBER(SEARCH(City_Lookup!$A$2:$A$297,$F301&amp;" "&amp;$E301)),0)),"Not Available")</f>
        <v>Kathmandu</v>
      </c>
      <c r="H301" s="5" t="str">
        <f>IFERROR(INDEX(City_Lookup!$E$2:$E$66,MATCH($G301,City_Lookup!$D$2:$D$66,0)),"Not Available")</f>
        <v>Bagmati</v>
      </c>
      <c r="I301" s="2" t="s">
        <v>663</v>
      </c>
      <c r="J301" s="2" t="s">
        <v>29</v>
      </c>
      <c r="K301" s="2" t="s">
        <v>250</v>
      </c>
      <c r="L301" s="2"/>
      <c r="M301" s="2" t="s">
        <v>250</v>
      </c>
      <c r="N301" s="2" t="s">
        <v>1290</v>
      </c>
      <c r="O301" s="2">
        <v>1</v>
      </c>
      <c r="P301" s="2" t="s">
        <v>1308</v>
      </c>
      <c r="Q301" s="2" t="s">
        <v>1309</v>
      </c>
      <c r="R301" s="2" t="s">
        <v>33</v>
      </c>
      <c r="S301" s="2" t="s">
        <v>27</v>
      </c>
      <c r="T301" s="2" t="s">
        <v>34</v>
      </c>
      <c r="U301" s="2" t="s">
        <v>35</v>
      </c>
      <c r="V301" s="2" t="s">
        <v>36</v>
      </c>
      <c r="W301" s="2" t="s">
        <v>37</v>
      </c>
      <c r="X301" s="4" t="s">
        <v>1308</v>
      </c>
      <c r="Y301" s="4" t="s">
        <v>2501</v>
      </c>
      <c r="Z301" t="str">
        <f t="shared" si="24"/>
        <v>977014529051</v>
      </c>
      <c r="AA301" t="str">
        <f t="shared" si="25"/>
        <v>014529051</v>
      </c>
      <c r="AB301" t="str">
        <f t="shared" si="26"/>
        <v>14529051</v>
      </c>
      <c r="AC301" t="str">
        <f t="shared" si="27"/>
        <v>+97714529051</v>
      </c>
      <c r="AD301" t="str">
        <f t="shared" si="28"/>
        <v>Landline</v>
      </c>
      <c r="AE301" t="str">
        <f t="shared" si="29"/>
        <v>Valid</v>
      </c>
    </row>
    <row r="302" spans="1:31" x14ac:dyDescent="0.3">
      <c r="A302" s="2" t="s">
        <v>1310</v>
      </c>
      <c r="B302" s="2" t="s">
        <v>1311</v>
      </c>
      <c r="C302" s="2" t="s">
        <v>1312</v>
      </c>
      <c r="D302" s="2" t="s">
        <v>1258</v>
      </c>
      <c r="E302" s="2" t="s">
        <v>1312</v>
      </c>
      <c r="F302" s="2" t="s">
        <v>1312</v>
      </c>
      <c r="G302" s="5" t="str" cm="1">
        <f t="array" ref="G302">IFERROR(INDEX(City_Lookup!$B$2:$B$297,MATCH(TRUE,ISNUMBER(SEARCH(City_Lookup!$A$2:$A$297,$F302&amp;" "&amp;$E302)),0)),"Not Available")</f>
        <v>Kathmandu</v>
      </c>
      <c r="H302" s="5" t="str">
        <f>IFERROR(INDEX(City_Lookup!$E$2:$E$66,MATCH($G302,City_Lookup!$D$2:$D$66,0)),"Not Available")</f>
        <v>Bagmati</v>
      </c>
      <c r="I302" s="2" t="s">
        <v>663</v>
      </c>
      <c r="J302" s="2" t="s">
        <v>29</v>
      </c>
      <c r="K302" s="2" t="s">
        <v>250</v>
      </c>
      <c r="L302" s="2"/>
      <c r="M302" s="2" t="s">
        <v>250</v>
      </c>
      <c r="N302" s="2" t="s">
        <v>1290</v>
      </c>
      <c r="O302" s="2">
        <v>1</v>
      </c>
      <c r="P302" s="2" t="s">
        <v>1313</v>
      </c>
      <c r="Q302" s="2" t="s">
        <v>1314</v>
      </c>
      <c r="R302" s="2" t="s">
        <v>33</v>
      </c>
      <c r="S302" s="2" t="s">
        <v>27</v>
      </c>
      <c r="T302" s="2" t="s">
        <v>34</v>
      </c>
      <c r="U302" s="2" t="s">
        <v>35</v>
      </c>
      <c r="V302" s="2" t="s">
        <v>36</v>
      </c>
      <c r="W302" s="2" t="s">
        <v>37</v>
      </c>
      <c r="X302" s="4" t="s">
        <v>1313</v>
      </c>
      <c r="Y302" s="4" t="s">
        <v>2501</v>
      </c>
      <c r="Z302" t="str">
        <f t="shared" si="24"/>
        <v>9779802333423</v>
      </c>
      <c r="AA302" t="str">
        <f t="shared" si="25"/>
        <v>9802333423</v>
      </c>
      <c r="AB302" t="str">
        <f t="shared" si="26"/>
        <v>9802333423</v>
      </c>
      <c r="AC302" t="str">
        <f t="shared" si="27"/>
        <v>+9779802333423</v>
      </c>
      <c r="AD302" t="str">
        <f t="shared" si="28"/>
        <v>Mobile</v>
      </c>
      <c r="AE302" t="str">
        <f t="shared" si="29"/>
        <v>Valid</v>
      </c>
    </row>
    <row r="303" spans="1:31" x14ac:dyDescent="0.3">
      <c r="A303" s="2" t="s">
        <v>1315</v>
      </c>
      <c r="B303" s="2" t="s">
        <v>1316</v>
      </c>
      <c r="C303" s="2" t="s">
        <v>1317</v>
      </c>
      <c r="D303" s="2" t="s">
        <v>1318</v>
      </c>
      <c r="E303" s="2" t="s">
        <v>1317</v>
      </c>
      <c r="F303" s="2" t="s">
        <v>1317</v>
      </c>
      <c r="G303" s="5" t="str" cm="1">
        <f t="array" ref="G303">IFERROR(INDEX(City_Lookup!$B$2:$B$297,MATCH(TRUE,ISNUMBER(SEARCH(City_Lookup!$A$2:$A$297,$F303&amp;" "&amp;$E303)),0)),"Not Available")</f>
        <v>Chitwan</v>
      </c>
      <c r="H303" s="5" t="str">
        <f>IFERROR(INDEX(City_Lookup!$E$2:$E$66,MATCH($G303,City_Lookup!$D$2:$D$66,0)),"Not Available")</f>
        <v>Bagmati</v>
      </c>
      <c r="I303" s="2" t="s">
        <v>28</v>
      </c>
      <c r="J303" s="2" t="s">
        <v>29</v>
      </c>
      <c r="K303" s="2" t="s">
        <v>250</v>
      </c>
      <c r="L303" s="2"/>
      <c r="M303" s="2" t="s">
        <v>250</v>
      </c>
      <c r="N303" s="2" t="s">
        <v>251</v>
      </c>
      <c r="O303" s="2">
        <v>1</v>
      </c>
      <c r="P303" s="2" t="s">
        <v>1319</v>
      </c>
      <c r="Q303" s="2" t="s">
        <v>1320</v>
      </c>
      <c r="R303" s="2" t="s">
        <v>33</v>
      </c>
      <c r="S303" s="2" t="s">
        <v>27</v>
      </c>
      <c r="T303" s="2" t="s">
        <v>34</v>
      </c>
      <c r="U303" s="2" t="s">
        <v>35</v>
      </c>
      <c r="V303" s="2" t="s">
        <v>36</v>
      </c>
      <c r="W303" s="2" t="s">
        <v>37</v>
      </c>
      <c r="X303" s="4" t="s">
        <v>1319</v>
      </c>
      <c r="Y303" s="4" t="s">
        <v>2501</v>
      </c>
      <c r="Z303" t="str">
        <f t="shared" si="24"/>
        <v>9779801801336</v>
      </c>
      <c r="AA303" t="str">
        <f t="shared" si="25"/>
        <v>9801801336</v>
      </c>
      <c r="AB303" t="str">
        <f t="shared" si="26"/>
        <v>9801801336</v>
      </c>
      <c r="AC303" t="str">
        <f t="shared" si="27"/>
        <v>+9779801801336</v>
      </c>
      <c r="AD303" t="str">
        <f t="shared" si="28"/>
        <v>Mobile</v>
      </c>
      <c r="AE303" t="str">
        <f t="shared" si="29"/>
        <v>Valid</v>
      </c>
    </row>
    <row r="304" spans="1:31" x14ac:dyDescent="0.3">
      <c r="A304" s="2" t="s">
        <v>1321</v>
      </c>
      <c r="B304" s="2" t="s">
        <v>1322</v>
      </c>
      <c r="C304" s="2" t="s">
        <v>1323</v>
      </c>
      <c r="D304" s="2" t="s">
        <v>1318</v>
      </c>
      <c r="E304" s="2" t="s">
        <v>1323</v>
      </c>
      <c r="F304" s="2" t="s">
        <v>1323</v>
      </c>
      <c r="G304" s="5" t="str" cm="1">
        <f t="array" ref="G304">IFERROR(INDEX(City_Lookup!$B$2:$B$297,MATCH(TRUE,ISNUMBER(SEARCH(City_Lookup!$A$2:$A$297,$F304&amp;" "&amp;$E304)),0)),"Not Available")</f>
        <v>Sindhuli</v>
      </c>
      <c r="H304" s="5" t="str">
        <f>IFERROR(INDEX(City_Lookup!$E$2:$E$66,MATCH($G304,City_Lookup!$D$2:$D$66,0)),"Not Available")</f>
        <v>Bagmati</v>
      </c>
      <c r="I304" s="2" t="s">
        <v>28</v>
      </c>
      <c r="J304" s="2" t="s">
        <v>29</v>
      </c>
      <c r="K304" s="2" t="s">
        <v>250</v>
      </c>
      <c r="L304" s="2"/>
      <c r="M304" s="2" t="s">
        <v>250</v>
      </c>
      <c r="N304" s="2" t="s">
        <v>251</v>
      </c>
      <c r="O304" s="2">
        <v>1</v>
      </c>
      <c r="P304" s="2" t="s">
        <v>500</v>
      </c>
      <c r="Q304" s="2" t="s">
        <v>1324</v>
      </c>
      <c r="R304" s="2" t="s">
        <v>33</v>
      </c>
      <c r="S304" s="2" t="s">
        <v>27</v>
      </c>
      <c r="T304" s="2" t="s">
        <v>34</v>
      </c>
      <c r="U304" s="2" t="s">
        <v>35</v>
      </c>
      <c r="V304" s="2" t="s">
        <v>36</v>
      </c>
      <c r="W304" s="2" t="s">
        <v>37</v>
      </c>
      <c r="X304" s="4" t="s">
        <v>500</v>
      </c>
      <c r="Y304" s="4" t="s">
        <v>2501</v>
      </c>
      <c r="Z304" t="str">
        <f t="shared" si="24"/>
        <v>9779851045480</v>
      </c>
      <c r="AA304" t="str">
        <f t="shared" si="25"/>
        <v>9851045480</v>
      </c>
      <c r="AB304" t="str">
        <f t="shared" si="26"/>
        <v>9851045480</v>
      </c>
      <c r="AC304" t="str">
        <f t="shared" si="27"/>
        <v>+9779851045480</v>
      </c>
      <c r="AD304" t="str">
        <f t="shared" si="28"/>
        <v>Mobile</v>
      </c>
      <c r="AE304" t="str">
        <f t="shared" si="29"/>
        <v>Valid</v>
      </c>
    </row>
    <row r="305" spans="1:31" x14ac:dyDescent="0.3">
      <c r="A305" s="2" t="s">
        <v>1325</v>
      </c>
      <c r="B305" s="2" t="s">
        <v>1326</v>
      </c>
      <c r="C305" s="2" t="s">
        <v>1327</v>
      </c>
      <c r="D305" s="2" t="s">
        <v>1318</v>
      </c>
      <c r="E305" s="2" t="s">
        <v>1327</v>
      </c>
      <c r="F305" s="2" t="s">
        <v>1327</v>
      </c>
      <c r="G305" s="5" t="str" cm="1">
        <f t="array" ref="G305">IFERROR(INDEX(City_Lookup!$B$2:$B$297,MATCH(TRUE,ISNUMBER(SEARCH(City_Lookup!$A$2:$A$297,$F305&amp;" "&amp;$E305)),0)),"Not Available")</f>
        <v>Sunsari</v>
      </c>
      <c r="H305" s="5" t="str">
        <f>IFERROR(INDEX(City_Lookup!$E$2:$E$66,MATCH($G305,City_Lookup!$D$2:$D$66,0)),"Not Available")</f>
        <v>Koshi</v>
      </c>
      <c r="I305" s="2" t="s">
        <v>28</v>
      </c>
      <c r="J305" s="2" t="s">
        <v>29</v>
      </c>
      <c r="K305" s="2" t="s">
        <v>250</v>
      </c>
      <c r="L305" s="2"/>
      <c r="M305" s="2" t="s">
        <v>250</v>
      </c>
      <c r="N305" s="2" t="s">
        <v>251</v>
      </c>
      <c r="O305" s="2">
        <v>1</v>
      </c>
      <c r="P305" s="2" t="s">
        <v>1328</v>
      </c>
      <c r="Q305" s="2" t="s">
        <v>1329</v>
      </c>
      <c r="R305" s="2" t="s">
        <v>33</v>
      </c>
      <c r="S305" s="2" t="s">
        <v>27</v>
      </c>
      <c r="T305" s="2" t="s">
        <v>34</v>
      </c>
      <c r="U305" s="2" t="s">
        <v>35</v>
      </c>
      <c r="V305" s="2" t="s">
        <v>36</v>
      </c>
      <c r="W305" s="2" t="s">
        <v>37</v>
      </c>
      <c r="X305" s="4" t="s">
        <v>1328</v>
      </c>
      <c r="Y305" s="4" t="s">
        <v>2501</v>
      </c>
      <c r="Z305" t="str">
        <f t="shared" si="24"/>
        <v>9779820753186</v>
      </c>
      <c r="AA305" t="str">
        <f t="shared" si="25"/>
        <v>9820753186</v>
      </c>
      <c r="AB305" t="str">
        <f t="shared" si="26"/>
        <v>9820753186</v>
      </c>
      <c r="AC305" t="str">
        <f t="shared" si="27"/>
        <v>+9779820753186</v>
      </c>
      <c r="AD305" t="str">
        <f t="shared" si="28"/>
        <v>Mobile</v>
      </c>
      <c r="AE305" t="str">
        <f t="shared" si="29"/>
        <v>Valid</v>
      </c>
    </row>
    <row r="306" spans="1:31" x14ac:dyDescent="0.3">
      <c r="A306" s="2" t="s">
        <v>1330</v>
      </c>
      <c r="B306" s="2" t="s">
        <v>1331</v>
      </c>
      <c r="C306" s="2" t="s">
        <v>1332</v>
      </c>
      <c r="D306" s="2" t="s">
        <v>1318</v>
      </c>
      <c r="E306" s="2" t="s">
        <v>1332</v>
      </c>
      <c r="F306" s="2" t="s">
        <v>1332</v>
      </c>
      <c r="G306" s="5" t="str" cm="1">
        <f t="array" ref="G306">IFERROR(INDEX(City_Lookup!$B$2:$B$297,MATCH(TRUE,ISNUMBER(SEARCH(City_Lookup!$A$2:$A$297,$F306&amp;" "&amp;$E306)),0)),"Not Available")</f>
        <v>Dhanusha</v>
      </c>
      <c r="H306" s="5" t="str">
        <f>IFERROR(INDEX(City_Lookup!$E$2:$E$66,MATCH($G306,City_Lookup!$D$2:$D$66,0)),"Not Available")</f>
        <v>Madhesh</v>
      </c>
      <c r="I306" s="2" t="s">
        <v>28</v>
      </c>
      <c r="J306" s="2" t="s">
        <v>29</v>
      </c>
      <c r="K306" s="2" t="s">
        <v>250</v>
      </c>
      <c r="L306" s="2"/>
      <c r="M306" s="2" t="s">
        <v>250</v>
      </c>
      <c r="N306" s="2" t="s">
        <v>251</v>
      </c>
      <c r="O306" s="2">
        <v>1</v>
      </c>
      <c r="P306" s="2" t="s">
        <v>1333</v>
      </c>
      <c r="Q306" s="2" t="s">
        <v>1334</v>
      </c>
      <c r="R306" s="2" t="s">
        <v>33</v>
      </c>
      <c r="S306" s="2" t="s">
        <v>27</v>
      </c>
      <c r="T306" s="2" t="s">
        <v>34</v>
      </c>
      <c r="U306" s="2" t="s">
        <v>35</v>
      </c>
      <c r="V306" s="2" t="s">
        <v>36</v>
      </c>
      <c r="W306" s="2" t="s">
        <v>37</v>
      </c>
      <c r="X306" s="4" t="s">
        <v>1333</v>
      </c>
      <c r="Y306" s="4" t="s">
        <v>2501</v>
      </c>
      <c r="Z306" t="str">
        <f t="shared" si="24"/>
        <v>9801670246</v>
      </c>
      <c r="AA306" t="str">
        <f t="shared" si="25"/>
        <v>9801670246</v>
      </c>
      <c r="AB306" t="str">
        <f t="shared" si="26"/>
        <v>9801670246</v>
      </c>
      <c r="AC306" t="str">
        <f t="shared" si="27"/>
        <v>+9779801670246</v>
      </c>
      <c r="AD306" t="str">
        <f t="shared" si="28"/>
        <v>Mobile</v>
      </c>
      <c r="AE306" t="str">
        <f t="shared" si="29"/>
        <v>Valid</v>
      </c>
    </row>
    <row r="307" spans="1:31" x14ac:dyDescent="0.3">
      <c r="A307" s="2" t="s">
        <v>1335</v>
      </c>
      <c r="B307" s="2" t="s">
        <v>1336</v>
      </c>
      <c r="C307" s="2" t="s">
        <v>1337</v>
      </c>
      <c r="D307" s="2" t="s">
        <v>1318</v>
      </c>
      <c r="E307" s="2" t="s">
        <v>1337</v>
      </c>
      <c r="F307" s="2" t="s">
        <v>1337</v>
      </c>
      <c r="G307" s="5" t="str" cm="1">
        <f t="array" ref="G307">IFERROR(INDEX(City_Lookup!$B$2:$B$297,MATCH(TRUE,ISNUMBER(SEARCH(City_Lookup!$A$2:$A$297,$F307&amp;" "&amp;$E307)),0)),"Not Available")</f>
        <v>Rupandehi</v>
      </c>
      <c r="H307" s="5" t="str">
        <f>IFERROR(INDEX(City_Lookup!$E$2:$E$66,MATCH($G307,City_Lookup!$D$2:$D$66,0)),"Not Available")</f>
        <v>Lumbini</v>
      </c>
      <c r="I307" s="2" t="s">
        <v>28</v>
      </c>
      <c r="J307" s="2" t="s">
        <v>29</v>
      </c>
      <c r="K307" s="2" t="s">
        <v>250</v>
      </c>
      <c r="L307" s="2"/>
      <c r="M307" s="2" t="s">
        <v>250</v>
      </c>
      <c r="N307" s="2" t="s">
        <v>251</v>
      </c>
      <c r="O307" s="2">
        <v>1</v>
      </c>
      <c r="P307" s="2" t="s">
        <v>1338</v>
      </c>
      <c r="Q307" s="2" t="s">
        <v>1339</v>
      </c>
      <c r="R307" s="2" t="s">
        <v>33</v>
      </c>
      <c r="S307" s="2" t="s">
        <v>27</v>
      </c>
      <c r="T307" s="2" t="s">
        <v>34</v>
      </c>
      <c r="U307" s="2" t="s">
        <v>35</v>
      </c>
      <c r="V307" s="2" t="s">
        <v>36</v>
      </c>
      <c r="W307" s="2" t="s">
        <v>37</v>
      </c>
      <c r="X307" s="4" t="s">
        <v>1338</v>
      </c>
      <c r="Y307" s="4" t="s">
        <v>2501</v>
      </c>
      <c r="Z307" t="str">
        <f t="shared" si="24"/>
        <v>9779814468148</v>
      </c>
      <c r="AA307" t="str">
        <f t="shared" si="25"/>
        <v>9814468148</v>
      </c>
      <c r="AB307" t="str">
        <f t="shared" si="26"/>
        <v>9814468148</v>
      </c>
      <c r="AC307" t="str">
        <f t="shared" si="27"/>
        <v>+9779814468148</v>
      </c>
      <c r="AD307" t="str">
        <f t="shared" si="28"/>
        <v>Mobile</v>
      </c>
      <c r="AE307" t="str">
        <f t="shared" si="29"/>
        <v>Valid</v>
      </c>
    </row>
    <row r="308" spans="1:31" x14ac:dyDescent="0.3">
      <c r="A308" s="2" t="s">
        <v>1340</v>
      </c>
      <c r="B308" s="2" t="s">
        <v>1341</v>
      </c>
      <c r="C308" s="2" t="s">
        <v>1342</v>
      </c>
      <c r="D308" s="2" t="s">
        <v>1318</v>
      </c>
      <c r="E308" s="2" t="s">
        <v>1342</v>
      </c>
      <c r="F308" s="2" t="s">
        <v>1342</v>
      </c>
      <c r="G308" s="5" t="str" cm="1">
        <f t="array" ref="G308">IFERROR(INDEX(City_Lookup!$B$2:$B$297,MATCH(TRUE,ISNUMBER(SEARCH(City_Lookup!$A$2:$A$297,$F308&amp;" "&amp;$E308)),0)),"Not Available")</f>
        <v>Kailali</v>
      </c>
      <c r="H308" s="5" t="str">
        <f>IFERROR(INDEX(City_Lookup!$E$2:$E$66,MATCH($G308,City_Lookup!$D$2:$D$66,0)),"Not Available")</f>
        <v>Sudurpashchim</v>
      </c>
      <c r="I308" s="2" t="s">
        <v>28</v>
      </c>
      <c r="J308" s="2" t="s">
        <v>29</v>
      </c>
      <c r="K308" s="2" t="s">
        <v>250</v>
      </c>
      <c r="L308" s="2"/>
      <c r="M308" s="2" t="s">
        <v>250</v>
      </c>
      <c r="N308" s="2" t="s">
        <v>251</v>
      </c>
      <c r="O308" s="2">
        <v>1</v>
      </c>
      <c r="P308" s="2" t="s">
        <v>1343</v>
      </c>
      <c r="Q308" s="2" t="s">
        <v>1344</v>
      </c>
      <c r="R308" s="2" t="s">
        <v>33</v>
      </c>
      <c r="S308" s="2" t="s">
        <v>27</v>
      </c>
      <c r="T308" s="2" t="s">
        <v>34</v>
      </c>
      <c r="U308" s="2" t="s">
        <v>35</v>
      </c>
      <c r="V308" s="2" t="s">
        <v>36</v>
      </c>
      <c r="W308" s="2" t="s">
        <v>37</v>
      </c>
      <c r="X308" s="4" t="s">
        <v>1343</v>
      </c>
      <c r="Y308" s="4" t="s">
        <v>2501</v>
      </c>
      <c r="Z308" t="str">
        <f t="shared" si="24"/>
        <v>91523977</v>
      </c>
      <c r="AA308" t="str">
        <f t="shared" si="25"/>
        <v>91523977</v>
      </c>
      <c r="AB308" t="str">
        <f t="shared" si="26"/>
        <v>91523977</v>
      </c>
      <c r="AC308" t="str">
        <f t="shared" si="27"/>
        <v>+97791523977</v>
      </c>
      <c r="AD308" t="str">
        <f t="shared" si="28"/>
        <v>Landline</v>
      </c>
      <c r="AE308" t="str">
        <f t="shared" si="29"/>
        <v>Valid</v>
      </c>
    </row>
    <row r="309" spans="1:31" x14ac:dyDescent="0.3">
      <c r="A309" s="2" t="s">
        <v>1345</v>
      </c>
      <c r="B309" s="2" t="s">
        <v>1346</v>
      </c>
      <c r="C309" s="2" t="s">
        <v>1347</v>
      </c>
      <c r="D309" s="2" t="s">
        <v>1318</v>
      </c>
      <c r="E309" s="2" t="s">
        <v>1347</v>
      </c>
      <c r="F309" s="2" t="s">
        <v>1347</v>
      </c>
      <c r="G309" s="5" t="str" cm="1">
        <f t="array" ref="G309">IFERROR(INDEX(City_Lookup!$B$2:$B$297,MATCH(TRUE,ISNUMBER(SEARCH(City_Lookup!$A$2:$A$297,$F309&amp;" "&amp;$E309)),0)),"Not Available")</f>
        <v>Kaski</v>
      </c>
      <c r="H309" s="5" t="str">
        <f>IFERROR(INDEX(City_Lookup!$E$2:$E$66,MATCH($G309,City_Lookup!$D$2:$D$66,0)),"Not Available")</f>
        <v>Gandaki</v>
      </c>
      <c r="I309" s="2" t="s">
        <v>28</v>
      </c>
      <c r="J309" s="2" t="s">
        <v>29</v>
      </c>
      <c r="K309" s="2" t="s">
        <v>250</v>
      </c>
      <c r="L309" s="2"/>
      <c r="M309" s="2" t="s">
        <v>250</v>
      </c>
      <c r="N309" s="2" t="s">
        <v>251</v>
      </c>
      <c r="O309" s="2">
        <v>1</v>
      </c>
      <c r="P309" s="2" t="s">
        <v>1348</v>
      </c>
      <c r="Q309" s="2" t="s">
        <v>1349</v>
      </c>
      <c r="R309" s="2" t="s">
        <v>33</v>
      </c>
      <c r="S309" s="2" t="s">
        <v>27</v>
      </c>
      <c r="T309" s="2" t="s">
        <v>34</v>
      </c>
      <c r="U309" s="2" t="s">
        <v>35</v>
      </c>
      <c r="V309" s="2" t="s">
        <v>36</v>
      </c>
      <c r="W309" s="2" t="s">
        <v>37</v>
      </c>
      <c r="X309" s="4" t="s">
        <v>1348</v>
      </c>
      <c r="Y309" s="4" t="s">
        <v>2501</v>
      </c>
      <c r="Z309" t="str">
        <f t="shared" si="24"/>
        <v>9779857072513</v>
      </c>
      <c r="AA309" t="str">
        <f t="shared" si="25"/>
        <v>9857072513</v>
      </c>
      <c r="AB309" t="str">
        <f t="shared" si="26"/>
        <v>9857072513</v>
      </c>
      <c r="AC309" t="str">
        <f t="shared" si="27"/>
        <v>+9779857072513</v>
      </c>
      <c r="AD309" t="str">
        <f t="shared" si="28"/>
        <v>Mobile</v>
      </c>
      <c r="AE309" t="str">
        <f t="shared" si="29"/>
        <v>Valid</v>
      </c>
    </row>
    <row r="310" spans="1:31" x14ac:dyDescent="0.3">
      <c r="A310" s="2" t="s">
        <v>1350</v>
      </c>
      <c r="B310" s="2" t="s">
        <v>1351</v>
      </c>
      <c r="C310" s="2" t="s">
        <v>1352</v>
      </c>
      <c r="D310" s="2" t="s">
        <v>1318</v>
      </c>
      <c r="E310" s="2" t="s">
        <v>1352</v>
      </c>
      <c r="F310" s="2" t="s">
        <v>1352</v>
      </c>
      <c r="G310" s="5" t="str" cm="1">
        <f t="array" ref="G310">IFERROR(INDEX(City_Lookup!$B$2:$B$297,MATCH(TRUE,ISNUMBER(SEARCH(City_Lookup!$A$2:$A$297,$F310&amp;" "&amp;$E310)),0)),"Not Available")</f>
        <v>Rupandehi</v>
      </c>
      <c r="H310" s="5" t="str">
        <f>IFERROR(INDEX(City_Lookup!$E$2:$E$66,MATCH($G310,City_Lookup!$D$2:$D$66,0)),"Not Available")</f>
        <v>Lumbini</v>
      </c>
      <c r="I310" s="2" t="s">
        <v>28</v>
      </c>
      <c r="J310" s="2" t="s">
        <v>29</v>
      </c>
      <c r="K310" s="2" t="s">
        <v>250</v>
      </c>
      <c r="L310" s="2"/>
      <c r="M310" s="2" t="s">
        <v>250</v>
      </c>
      <c r="N310" s="2" t="s">
        <v>251</v>
      </c>
      <c r="O310" s="2">
        <v>1</v>
      </c>
      <c r="P310" s="2" t="s">
        <v>1353</v>
      </c>
      <c r="Q310" s="2" t="s">
        <v>1354</v>
      </c>
      <c r="R310" s="2" t="s">
        <v>33</v>
      </c>
      <c r="S310" s="2" t="s">
        <v>27</v>
      </c>
      <c r="T310" s="2" t="s">
        <v>34</v>
      </c>
      <c r="U310" s="2" t="s">
        <v>35</v>
      </c>
      <c r="V310" s="2" t="s">
        <v>36</v>
      </c>
      <c r="W310" s="2" t="s">
        <v>37</v>
      </c>
      <c r="X310" s="4" t="s">
        <v>1353</v>
      </c>
      <c r="Y310" s="4" t="s">
        <v>2501</v>
      </c>
      <c r="Z310" t="str">
        <f t="shared" si="24"/>
        <v>71570305</v>
      </c>
      <c r="AA310" t="str">
        <f t="shared" si="25"/>
        <v>71570305</v>
      </c>
      <c r="AB310" t="str">
        <f t="shared" si="26"/>
        <v>71570305</v>
      </c>
      <c r="AC310" t="str">
        <f t="shared" si="27"/>
        <v>+97771570305</v>
      </c>
      <c r="AD310" t="str">
        <f t="shared" si="28"/>
        <v>Landline</v>
      </c>
      <c r="AE310" t="str">
        <f t="shared" si="29"/>
        <v>Valid</v>
      </c>
    </row>
    <row r="311" spans="1:31" x14ac:dyDescent="0.3">
      <c r="A311" s="2" t="s">
        <v>1355</v>
      </c>
      <c r="B311" s="2" t="s">
        <v>1356</v>
      </c>
      <c r="C311" s="2" t="s">
        <v>1357</v>
      </c>
      <c r="D311" s="2" t="s">
        <v>1318</v>
      </c>
      <c r="E311" s="2" t="s">
        <v>1357</v>
      </c>
      <c r="F311" s="2" t="s">
        <v>1357</v>
      </c>
      <c r="G311" s="5" t="str" cm="1">
        <f t="array" ref="G311">IFERROR(INDEX(City_Lookup!$B$2:$B$297,MATCH(TRUE,ISNUMBER(SEARCH(City_Lookup!$A$2:$A$297,$F311&amp;" "&amp;$E311)),0)),"Not Available")</f>
        <v>Lalitpur</v>
      </c>
      <c r="H311" s="5" t="str">
        <f>IFERROR(INDEX(City_Lookup!$E$2:$E$66,MATCH($G311,City_Lookup!$D$2:$D$66,0)),"Not Available")</f>
        <v>Bagmati</v>
      </c>
      <c r="I311" s="2" t="s">
        <v>28</v>
      </c>
      <c r="J311" s="2" t="s">
        <v>29</v>
      </c>
      <c r="K311" s="2" t="s">
        <v>250</v>
      </c>
      <c r="L311" s="2"/>
      <c r="M311" s="2" t="s">
        <v>250</v>
      </c>
      <c r="N311" s="2" t="s">
        <v>251</v>
      </c>
      <c r="O311" s="2">
        <v>1</v>
      </c>
      <c r="P311" s="2" t="s">
        <v>1358</v>
      </c>
      <c r="Q311" s="2" t="s">
        <v>1359</v>
      </c>
      <c r="R311" s="2" t="s">
        <v>33</v>
      </c>
      <c r="S311" s="2" t="s">
        <v>27</v>
      </c>
      <c r="T311" s="2" t="s">
        <v>34</v>
      </c>
      <c r="U311" s="2" t="s">
        <v>35</v>
      </c>
      <c r="V311" s="2" t="s">
        <v>36</v>
      </c>
      <c r="W311" s="2" t="s">
        <v>37</v>
      </c>
      <c r="X311" s="4" t="s">
        <v>1358</v>
      </c>
      <c r="Y311" s="4" t="s">
        <v>2501</v>
      </c>
      <c r="Z311" t="str">
        <f t="shared" si="24"/>
        <v>14514033</v>
      </c>
      <c r="AA311" t="str">
        <f t="shared" si="25"/>
        <v>14514033</v>
      </c>
      <c r="AB311" t="str">
        <f t="shared" si="26"/>
        <v>14514033</v>
      </c>
      <c r="AC311" t="str">
        <f t="shared" si="27"/>
        <v>+97714514033</v>
      </c>
      <c r="AD311" t="str">
        <f t="shared" si="28"/>
        <v>Landline</v>
      </c>
      <c r="AE311" t="str">
        <f t="shared" si="29"/>
        <v>Valid</v>
      </c>
    </row>
    <row r="312" spans="1:31" x14ac:dyDescent="0.3">
      <c r="A312" s="2" t="s">
        <v>1360</v>
      </c>
      <c r="B312" s="2" t="s">
        <v>1361</v>
      </c>
      <c r="C312" s="2" t="s">
        <v>1362</v>
      </c>
      <c r="D312" s="2" t="s">
        <v>1318</v>
      </c>
      <c r="E312" s="2" t="s">
        <v>1362</v>
      </c>
      <c r="F312" s="2" t="s">
        <v>1362</v>
      </c>
      <c r="G312" s="5" t="str" cm="1">
        <f t="array" ref="G312">IFERROR(INDEX(City_Lookup!$B$2:$B$297,MATCH(TRUE,ISNUMBER(SEARCH(City_Lookup!$A$2:$A$297,$F312&amp;" "&amp;$E312)),0)),"Not Available")</f>
        <v>Chitwan</v>
      </c>
      <c r="H312" s="5" t="str">
        <f>IFERROR(INDEX(City_Lookup!$E$2:$E$66,MATCH($G312,City_Lookup!$D$2:$D$66,0)),"Not Available")</f>
        <v>Bagmati</v>
      </c>
      <c r="I312" s="2" t="s">
        <v>28</v>
      </c>
      <c r="J312" s="2" t="s">
        <v>29</v>
      </c>
      <c r="K312" s="2" t="s">
        <v>250</v>
      </c>
      <c r="L312" s="2"/>
      <c r="M312" s="2" t="s">
        <v>250</v>
      </c>
      <c r="N312" s="2" t="s">
        <v>251</v>
      </c>
      <c r="O312" s="2">
        <v>1</v>
      </c>
      <c r="P312" s="2" t="s">
        <v>1363</v>
      </c>
      <c r="Q312" s="2" t="s">
        <v>1364</v>
      </c>
      <c r="R312" s="2" t="s">
        <v>33</v>
      </c>
      <c r="S312" s="2" t="s">
        <v>27</v>
      </c>
      <c r="T312" s="2" t="s">
        <v>34</v>
      </c>
      <c r="U312" s="2" t="s">
        <v>35</v>
      </c>
      <c r="V312" s="2" t="s">
        <v>36</v>
      </c>
      <c r="W312" s="2" t="s">
        <v>37</v>
      </c>
      <c r="X312" s="4" t="s">
        <v>1363</v>
      </c>
      <c r="Y312" s="4" t="s">
        <v>2501</v>
      </c>
      <c r="Z312" t="str">
        <f t="shared" si="24"/>
        <v>977056515865</v>
      </c>
      <c r="AA312" t="str">
        <f t="shared" si="25"/>
        <v>056515865</v>
      </c>
      <c r="AB312" t="str">
        <f t="shared" si="26"/>
        <v>56515865</v>
      </c>
      <c r="AC312" t="str">
        <f t="shared" si="27"/>
        <v>+97756515865</v>
      </c>
      <c r="AD312" t="str">
        <f t="shared" si="28"/>
        <v>Landline</v>
      </c>
      <c r="AE312" t="str">
        <f t="shared" si="29"/>
        <v>Valid</v>
      </c>
    </row>
    <row r="313" spans="1:31" x14ac:dyDescent="0.3">
      <c r="A313" s="2" t="s">
        <v>1365</v>
      </c>
      <c r="B313" s="2" t="s">
        <v>1366</v>
      </c>
      <c r="C313" s="2" t="s">
        <v>1367</v>
      </c>
      <c r="D313" s="2" t="s">
        <v>1368</v>
      </c>
      <c r="E313" s="2" t="s">
        <v>1367</v>
      </c>
      <c r="F313" s="2" t="s">
        <v>1367</v>
      </c>
      <c r="G313" s="5" t="str" cm="1">
        <f t="array" ref="G313">IFERROR(INDEX(City_Lookup!$B$2:$B$297,MATCH(TRUE,ISNUMBER(SEARCH(City_Lookup!$A$2:$A$297,$F313&amp;" "&amp;$E313)),0)),"Not Available")</f>
        <v>Kavre</v>
      </c>
      <c r="H313" s="5" t="str">
        <f>IFERROR(INDEX(City_Lookup!$E$2:$E$66,MATCH($G313,City_Lookup!$D$2:$D$66,0)),"Not Available")</f>
        <v>Bagmati</v>
      </c>
      <c r="I313" s="2" t="s">
        <v>1259</v>
      </c>
      <c r="J313" s="2" t="s">
        <v>29</v>
      </c>
      <c r="K313" s="2" t="s">
        <v>1230</v>
      </c>
      <c r="L313" s="2"/>
      <c r="M313" s="2" t="s">
        <v>1230</v>
      </c>
      <c r="N313" s="2" t="s">
        <v>1369</v>
      </c>
      <c r="O313" s="2">
        <v>1</v>
      </c>
      <c r="P313" s="2" t="s">
        <v>1370</v>
      </c>
      <c r="Q313" s="2" t="s">
        <v>1371</v>
      </c>
      <c r="R313" s="2" t="s">
        <v>33</v>
      </c>
      <c r="S313" s="2" t="s">
        <v>27</v>
      </c>
      <c r="T313" s="2" t="s">
        <v>34</v>
      </c>
      <c r="U313" s="2" t="s">
        <v>35</v>
      </c>
      <c r="V313" s="2" t="s">
        <v>36</v>
      </c>
      <c r="W313" s="2" t="s">
        <v>37</v>
      </c>
      <c r="X313" s="4" t="s">
        <v>1370</v>
      </c>
      <c r="Y313" s="4" t="s">
        <v>2501</v>
      </c>
      <c r="Z313" t="str">
        <f t="shared" si="24"/>
        <v>977015331116</v>
      </c>
      <c r="AA313" t="str">
        <f t="shared" si="25"/>
        <v>015331116</v>
      </c>
      <c r="AB313" t="str">
        <f t="shared" si="26"/>
        <v>15331116</v>
      </c>
      <c r="AC313" t="str">
        <f t="shared" si="27"/>
        <v>+97715331116</v>
      </c>
      <c r="AD313" t="str">
        <f t="shared" si="28"/>
        <v>Landline</v>
      </c>
      <c r="AE313" t="str">
        <f t="shared" si="29"/>
        <v>Valid</v>
      </c>
    </row>
    <row r="314" spans="1:31" x14ac:dyDescent="0.3">
      <c r="A314" s="2" t="s">
        <v>1372</v>
      </c>
      <c r="B314" s="2" t="s">
        <v>1373</v>
      </c>
      <c r="C314" s="2" t="s">
        <v>1374</v>
      </c>
      <c r="D314" s="2" t="s">
        <v>1368</v>
      </c>
      <c r="E314" s="2" t="s">
        <v>1374</v>
      </c>
      <c r="F314" s="2" t="s">
        <v>1374</v>
      </c>
      <c r="G314" s="5" t="str" cm="1">
        <f t="array" ref="G314">IFERROR(INDEX(City_Lookup!$B$2:$B$297,MATCH(TRUE,ISNUMBER(SEARCH(City_Lookup!$A$2:$A$297,$F314&amp;" "&amp;$E314)),0)),"Not Available")</f>
        <v>Kathmandu</v>
      </c>
      <c r="H314" s="5" t="str">
        <f>IFERROR(INDEX(City_Lookup!$E$2:$E$66,MATCH($G314,City_Lookup!$D$2:$D$66,0)),"Not Available")</f>
        <v>Bagmati</v>
      </c>
      <c r="I314" s="5" t="s">
        <v>1259</v>
      </c>
      <c r="J314" s="5" t="s">
        <v>29</v>
      </c>
      <c r="K314" s="5">
        <v>30</v>
      </c>
      <c r="L314" s="2"/>
      <c r="M314" s="5">
        <f>IF($K314&lt;&gt;"",$K314,$L314)</f>
        <v>30</v>
      </c>
      <c r="N314" s="2" t="s">
        <v>1376</v>
      </c>
      <c r="O314" s="2">
        <v>1</v>
      </c>
      <c r="P314" s="2" t="s">
        <v>1377</v>
      </c>
      <c r="Q314" s="2" t="s">
        <v>1378</v>
      </c>
      <c r="R314" s="2" t="s">
        <v>33</v>
      </c>
      <c r="S314" s="2" t="s">
        <v>27</v>
      </c>
      <c r="T314" s="2" t="s">
        <v>34</v>
      </c>
      <c r="U314" s="2" t="s">
        <v>35</v>
      </c>
      <c r="V314" s="2" t="s">
        <v>36</v>
      </c>
      <c r="W314" s="2" t="s">
        <v>37</v>
      </c>
      <c r="X314" s="4" t="s">
        <v>1377</v>
      </c>
      <c r="Y314" s="4" t="s">
        <v>2501</v>
      </c>
      <c r="Z314" t="str">
        <f t="shared" si="24"/>
        <v>9779801877447</v>
      </c>
      <c r="AA314" t="str">
        <f t="shared" si="25"/>
        <v>9801877447</v>
      </c>
      <c r="AB314" t="str">
        <f t="shared" si="26"/>
        <v>9801877447</v>
      </c>
      <c r="AC314" t="str">
        <f t="shared" si="27"/>
        <v>+9779801877447</v>
      </c>
      <c r="AD314" t="str">
        <f t="shared" si="28"/>
        <v>Mobile</v>
      </c>
      <c r="AE314" t="str">
        <f t="shared" si="29"/>
        <v>Valid</v>
      </c>
    </row>
    <row r="315" spans="1:31" x14ac:dyDescent="0.3">
      <c r="A315" s="2" t="s">
        <v>1379</v>
      </c>
      <c r="B315" s="2" t="s">
        <v>1380</v>
      </c>
      <c r="C315" s="2" t="s">
        <v>1381</v>
      </c>
      <c r="D315" s="2" t="s">
        <v>1368</v>
      </c>
      <c r="E315" s="2" t="s">
        <v>1381</v>
      </c>
      <c r="F315" s="2" t="s">
        <v>1381</v>
      </c>
      <c r="G315" s="5" t="str" cm="1">
        <f t="array" ref="G315">IFERROR(INDEX(City_Lookup!$B$2:$B$297,MATCH(TRUE,ISNUMBER(SEARCH(City_Lookup!$A$2:$A$297,$F315&amp;" "&amp;$E315)),0)),"Not Available")</f>
        <v>Dhading</v>
      </c>
      <c r="H315" s="5" t="str">
        <f>IFERROR(INDEX(City_Lookup!$E$2:$E$66,MATCH($G315,City_Lookup!$D$2:$D$66,0)),"Not Available")</f>
        <v>Bagmati</v>
      </c>
      <c r="I315" s="2" t="s">
        <v>1259</v>
      </c>
      <c r="J315" s="2" t="s">
        <v>29</v>
      </c>
      <c r="K315" s="2" t="s">
        <v>1230</v>
      </c>
      <c r="L315" s="2"/>
      <c r="M315" s="2" t="s">
        <v>1230</v>
      </c>
      <c r="N315" s="2" t="s">
        <v>1369</v>
      </c>
      <c r="O315" s="2">
        <v>1</v>
      </c>
      <c r="P315" s="2" t="s">
        <v>1382</v>
      </c>
      <c r="Q315" s="2" t="s">
        <v>1383</v>
      </c>
      <c r="R315" s="2" t="s">
        <v>33</v>
      </c>
      <c r="S315" s="2" t="s">
        <v>27</v>
      </c>
      <c r="T315" s="2" t="s">
        <v>34</v>
      </c>
      <c r="U315" s="2" t="s">
        <v>35</v>
      </c>
      <c r="V315" s="2" t="s">
        <v>36</v>
      </c>
      <c r="W315" s="2" t="s">
        <v>37</v>
      </c>
      <c r="X315" s="4" t="s">
        <v>1382</v>
      </c>
      <c r="Y315" s="4" t="s">
        <v>2501</v>
      </c>
      <c r="Z315" t="str">
        <f t="shared" si="24"/>
        <v>977010420029</v>
      </c>
      <c r="AA315" t="str">
        <f t="shared" si="25"/>
        <v>010420029</v>
      </c>
      <c r="AB315" t="str">
        <f t="shared" si="26"/>
        <v>10420029</v>
      </c>
      <c r="AC315" t="str">
        <f t="shared" si="27"/>
        <v>+97710420029</v>
      </c>
      <c r="AD315" t="str">
        <f t="shared" si="28"/>
        <v>Landline</v>
      </c>
      <c r="AE315" t="str">
        <f t="shared" si="29"/>
        <v>Valid</v>
      </c>
    </row>
    <row r="316" spans="1:31" x14ac:dyDescent="0.3">
      <c r="A316" s="2" t="s">
        <v>1384</v>
      </c>
      <c r="B316" s="2" t="s">
        <v>1385</v>
      </c>
      <c r="C316" s="2" t="s">
        <v>1386</v>
      </c>
      <c r="D316" s="2" t="s">
        <v>1368</v>
      </c>
      <c r="E316" s="2" t="s">
        <v>1386</v>
      </c>
      <c r="F316" s="2" t="s">
        <v>1386</v>
      </c>
      <c r="G316" s="5" t="str" cm="1">
        <f t="array" ref="G316">IFERROR(INDEX(City_Lookup!$B$2:$B$297,MATCH(TRUE,ISNUMBER(SEARCH(City_Lookup!$A$2:$A$297,$F316&amp;" "&amp;$E316)),0)),"Not Available")</f>
        <v>Tanahun</v>
      </c>
      <c r="H316" s="5" t="str">
        <f>IFERROR(INDEX(City_Lookup!$E$2:$E$66,MATCH($G316,City_Lookup!$D$2:$D$66,0)),"Not Available")</f>
        <v>Gandaki</v>
      </c>
      <c r="I316" s="2" t="s">
        <v>1259</v>
      </c>
      <c r="J316" s="2" t="s">
        <v>29</v>
      </c>
      <c r="K316" s="2" t="s">
        <v>1230</v>
      </c>
      <c r="L316" s="2"/>
      <c r="M316" s="2" t="s">
        <v>1230</v>
      </c>
      <c r="N316" s="2" t="s">
        <v>1369</v>
      </c>
      <c r="O316" s="2">
        <v>1</v>
      </c>
      <c r="P316" s="2" t="s">
        <v>1387</v>
      </c>
      <c r="Q316" s="2" t="s">
        <v>1388</v>
      </c>
      <c r="R316" s="2" t="s">
        <v>33</v>
      </c>
      <c r="S316" s="2" t="s">
        <v>27</v>
      </c>
      <c r="T316" s="2" t="s">
        <v>34</v>
      </c>
      <c r="U316" s="2" t="s">
        <v>35</v>
      </c>
      <c r="V316" s="2" t="s">
        <v>36</v>
      </c>
      <c r="W316" s="2" t="s">
        <v>37</v>
      </c>
      <c r="X316" s="4" t="s">
        <v>1387</v>
      </c>
      <c r="Y316" s="4" t="s">
        <v>2501</v>
      </c>
      <c r="Z316" t="str">
        <f t="shared" si="24"/>
        <v>977065540269</v>
      </c>
      <c r="AA316" t="str">
        <f t="shared" si="25"/>
        <v>065540269</v>
      </c>
      <c r="AB316" t="str">
        <f t="shared" si="26"/>
        <v>65540269</v>
      </c>
      <c r="AC316" t="str">
        <f t="shared" si="27"/>
        <v>+97765540269</v>
      </c>
      <c r="AD316" t="str">
        <f t="shared" si="28"/>
        <v>Landline</v>
      </c>
      <c r="AE316" t="str">
        <f t="shared" si="29"/>
        <v>Valid</v>
      </c>
    </row>
    <row r="317" spans="1:31" x14ac:dyDescent="0.3">
      <c r="A317" s="2" t="s">
        <v>1389</v>
      </c>
      <c r="B317" s="2" t="s">
        <v>1390</v>
      </c>
      <c r="C317" s="2" t="s">
        <v>1391</v>
      </c>
      <c r="D317" s="2" t="s">
        <v>1368</v>
      </c>
      <c r="E317" s="2" t="s">
        <v>1391</v>
      </c>
      <c r="F317" s="2" t="s">
        <v>1391</v>
      </c>
      <c r="G317" s="5" t="str" cm="1">
        <f t="array" ref="G317">IFERROR(INDEX(City_Lookup!$B$2:$B$297,MATCH(TRUE,ISNUMBER(SEARCH(City_Lookup!$A$2:$A$297,$F317&amp;" "&amp;$E317)),0)),"Not Available")</f>
        <v>Dolakha</v>
      </c>
      <c r="H317" s="5" t="str">
        <f>IFERROR(INDEX(City_Lookup!$E$2:$E$66,MATCH($G317,City_Lookup!$D$2:$D$66,0)),"Not Available")</f>
        <v>Bagmati</v>
      </c>
      <c r="I317" s="2" t="s">
        <v>1259</v>
      </c>
      <c r="J317" s="2" t="s">
        <v>29</v>
      </c>
      <c r="K317" s="2" t="s">
        <v>1230</v>
      </c>
      <c r="L317" s="2"/>
      <c r="M317" s="2" t="s">
        <v>1230</v>
      </c>
      <c r="N317" s="2" t="s">
        <v>1369</v>
      </c>
      <c r="O317" s="2">
        <v>1</v>
      </c>
      <c r="P317" s="2" t="s">
        <v>1392</v>
      </c>
      <c r="Q317" s="2" t="s">
        <v>1393</v>
      </c>
      <c r="R317" s="2" t="s">
        <v>33</v>
      </c>
      <c r="S317" s="2" t="s">
        <v>27</v>
      </c>
      <c r="T317" s="2" t="s">
        <v>34</v>
      </c>
      <c r="U317" s="2" t="s">
        <v>35</v>
      </c>
      <c r="V317" s="2" t="s">
        <v>36</v>
      </c>
      <c r="W317" s="2" t="s">
        <v>37</v>
      </c>
      <c r="X317" s="4" t="s">
        <v>1392</v>
      </c>
      <c r="Y317" s="4" t="s">
        <v>2501</v>
      </c>
      <c r="Z317" t="str">
        <f t="shared" si="24"/>
        <v>9779841498668</v>
      </c>
      <c r="AA317" t="str">
        <f t="shared" si="25"/>
        <v>9841498668</v>
      </c>
      <c r="AB317" t="str">
        <f t="shared" si="26"/>
        <v>9841498668</v>
      </c>
      <c r="AC317" t="str">
        <f t="shared" si="27"/>
        <v>+9779841498668</v>
      </c>
      <c r="AD317" t="str">
        <f t="shared" si="28"/>
        <v>Mobile</v>
      </c>
      <c r="AE317" t="str">
        <f t="shared" si="29"/>
        <v>Valid</v>
      </c>
    </row>
    <row r="318" spans="1:31" x14ac:dyDescent="0.3">
      <c r="A318" s="2" t="s">
        <v>1394</v>
      </c>
      <c r="B318" s="2" t="s">
        <v>1395</v>
      </c>
      <c r="C318" s="2" t="s">
        <v>1396</v>
      </c>
      <c r="D318" s="2" t="s">
        <v>1368</v>
      </c>
      <c r="E318" s="2" t="s">
        <v>1396</v>
      </c>
      <c r="F318" s="2" t="s">
        <v>1396</v>
      </c>
      <c r="G318" s="5" t="str" cm="1">
        <f t="array" ref="G318">IFERROR(INDEX(City_Lookup!$B$2:$B$297,MATCH(TRUE,ISNUMBER(SEARCH(City_Lookup!$A$2:$A$297,$F318&amp;" "&amp;$E318)),0)),"Not Available")</f>
        <v>Dhading</v>
      </c>
      <c r="H318" s="5" t="str">
        <f>IFERROR(INDEX(City_Lookup!$E$2:$E$66,MATCH($G318,City_Lookup!$D$2:$D$66,0)),"Not Available")</f>
        <v>Bagmati</v>
      </c>
      <c r="I318" s="5" t="s">
        <v>1259</v>
      </c>
      <c r="J318" s="2" t="s">
        <v>29</v>
      </c>
      <c r="K318" s="2" t="s">
        <v>1230</v>
      </c>
      <c r="L318" s="2"/>
      <c r="M318" s="2" t="s">
        <v>1230</v>
      </c>
      <c r="N318" s="2" t="s">
        <v>1397</v>
      </c>
      <c r="O318" s="2">
        <v>1</v>
      </c>
      <c r="P318" s="2" t="s">
        <v>27</v>
      </c>
      <c r="Q318" s="2" t="s">
        <v>1398</v>
      </c>
      <c r="R318" s="2" t="s">
        <v>33</v>
      </c>
      <c r="S318" s="2" t="s">
        <v>27</v>
      </c>
      <c r="T318" s="2" t="s">
        <v>34</v>
      </c>
      <c r="U318" s="2" t="s">
        <v>35</v>
      </c>
      <c r="V318" s="2" t="s">
        <v>36</v>
      </c>
      <c r="W318" s="2" t="s">
        <v>37</v>
      </c>
      <c r="X318" s="6" t="s">
        <v>2486</v>
      </c>
      <c r="Y318" s="6" t="s">
        <v>2499</v>
      </c>
      <c r="Z318" t="str">
        <f t="shared" si="24"/>
        <v>97714153051</v>
      </c>
      <c r="AA318" t="str">
        <f t="shared" si="25"/>
        <v>14153051</v>
      </c>
      <c r="AB318" t="str">
        <f t="shared" si="26"/>
        <v>14153051</v>
      </c>
      <c r="AC318" t="str">
        <f t="shared" si="27"/>
        <v>+97714153051</v>
      </c>
      <c r="AD318" t="str">
        <f t="shared" si="28"/>
        <v>Landline</v>
      </c>
      <c r="AE318" t="str">
        <f t="shared" si="29"/>
        <v>Valid</v>
      </c>
    </row>
    <row r="319" spans="1:31" x14ac:dyDescent="0.3">
      <c r="A319" s="2" t="s">
        <v>1399</v>
      </c>
      <c r="B319" s="2" t="s">
        <v>1400</v>
      </c>
      <c r="C319" s="2" t="s">
        <v>1401</v>
      </c>
      <c r="D319" s="2" t="s">
        <v>1368</v>
      </c>
      <c r="E319" s="2" t="s">
        <v>1401</v>
      </c>
      <c r="F319" s="2" t="s">
        <v>1401</v>
      </c>
      <c r="G319" s="5" t="str" cm="1">
        <f t="array" ref="G319">IFERROR(INDEX(City_Lookup!$B$2:$B$297,MATCH(TRUE,ISNUMBER(SEARCH(City_Lookup!$A$2:$A$297,$F319&amp;" "&amp;$E319)),0)),"Not Available")</f>
        <v>Tanahun</v>
      </c>
      <c r="H319" s="5" t="str">
        <f>IFERROR(INDEX(City_Lookup!$E$2:$E$66,MATCH($G319,City_Lookup!$D$2:$D$66,0)),"Not Available")</f>
        <v>Gandaki</v>
      </c>
      <c r="I319" s="5" t="s">
        <v>1259</v>
      </c>
      <c r="J319" s="2" t="s">
        <v>29</v>
      </c>
      <c r="K319" s="2" t="s">
        <v>1230</v>
      </c>
      <c r="L319" s="2"/>
      <c r="M319" s="2" t="s">
        <v>1230</v>
      </c>
      <c r="N319" s="2" t="s">
        <v>1397</v>
      </c>
      <c r="O319" s="2">
        <v>1</v>
      </c>
      <c r="P319" s="2" t="s">
        <v>27</v>
      </c>
      <c r="Q319" s="2" t="s">
        <v>1402</v>
      </c>
      <c r="R319" s="2" t="s">
        <v>33</v>
      </c>
      <c r="S319" s="2" t="s">
        <v>27</v>
      </c>
      <c r="T319" s="2" t="s">
        <v>34</v>
      </c>
      <c r="U319" s="2" t="s">
        <v>35</v>
      </c>
      <c r="V319" s="2" t="s">
        <v>36</v>
      </c>
      <c r="W319" s="2" t="s">
        <v>37</v>
      </c>
      <c r="X319" s="6" t="s">
        <v>2486</v>
      </c>
      <c r="Y319" s="6" t="s">
        <v>2499</v>
      </c>
      <c r="Z319" t="str">
        <f t="shared" si="24"/>
        <v>97714153051</v>
      </c>
      <c r="AA319" t="str">
        <f t="shared" si="25"/>
        <v>14153051</v>
      </c>
      <c r="AB319" t="str">
        <f t="shared" si="26"/>
        <v>14153051</v>
      </c>
      <c r="AC319" t="str">
        <f t="shared" si="27"/>
        <v>+97714153051</v>
      </c>
      <c r="AD319" t="str">
        <f t="shared" si="28"/>
        <v>Landline</v>
      </c>
      <c r="AE319" t="str">
        <f t="shared" si="29"/>
        <v>Valid</v>
      </c>
    </row>
    <row r="320" spans="1:31" x14ac:dyDescent="0.3">
      <c r="A320" s="2" t="s">
        <v>1403</v>
      </c>
      <c r="B320" s="2" t="s">
        <v>1404</v>
      </c>
      <c r="C320" s="2" t="s">
        <v>1405</v>
      </c>
      <c r="D320" s="2" t="s">
        <v>1368</v>
      </c>
      <c r="E320" s="2" t="s">
        <v>1405</v>
      </c>
      <c r="F320" s="2" t="s">
        <v>1405</v>
      </c>
      <c r="G320" s="5" t="str" cm="1">
        <f t="array" ref="G320">IFERROR(INDEX(City_Lookup!$B$2:$B$297,MATCH(TRUE,ISNUMBER(SEARCH(City_Lookup!$A$2:$A$297,$F320&amp;" "&amp;$E320)),0)),"Not Available")</f>
        <v>Lamjung</v>
      </c>
      <c r="H320" s="5" t="str">
        <f>IFERROR(INDEX(City_Lookup!$E$2:$E$66,MATCH($G320,City_Lookup!$D$2:$D$66,0)),"Not Available")</f>
        <v>Gandaki</v>
      </c>
      <c r="I320" s="5" t="s">
        <v>1259</v>
      </c>
      <c r="J320" s="2" t="s">
        <v>29</v>
      </c>
      <c r="K320" s="2" t="s">
        <v>1230</v>
      </c>
      <c r="L320" s="2"/>
      <c r="M320" s="2" t="s">
        <v>1230</v>
      </c>
      <c r="N320" s="2" t="s">
        <v>1397</v>
      </c>
      <c r="O320" s="2">
        <v>1</v>
      </c>
      <c r="P320" s="2" t="s">
        <v>27</v>
      </c>
      <c r="Q320" s="2" t="s">
        <v>1406</v>
      </c>
      <c r="R320" s="2" t="s">
        <v>33</v>
      </c>
      <c r="S320" s="2" t="s">
        <v>27</v>
      </c>
      <c r="T320" s="2" t="s">
        <v>34</v>
      </c>
      <c r="U320" s="2" t="s">
        <v>35</v>
      </c>
      <c r="V320" s="2" t="s">
        <v>36</v>
      </c>
      <c r="W320" s="2" t="s">
        <v>37</v>
      </c>
      <c r="X320" s="6" t="s">
        <v>2486</v>
      </c>
      <c r="Y320" s="6" t="s">
        <v>2499</v>
      </c>
      <c r="Z320" t="str">
        <f t="shared" si="24"/>
        <v>97714153051</v>
      </c>
      <c r="AA320" t="str">
        <f t="shared" si="25"/>
        <v>14153051</v>
      </c>
      <c r="AB320" t="str">
        <f t="shared" si="26"/>
        <v>14153051</v>
      </c>
      <c r="AC320" t="str">
        <f t="shared" si="27"/>
        <v>+97714153051</v>
      </c>
      <c r="AD320" t="str">
        <f t="shared" si="28"/>
        <v>Landline</v>
      </c>
      <c r="AE320" t="str">
        <f t="shared" si="29"/>
        <v>Valid</v>
      </c>
    </row>
    <row r="321" spans="1:31" x14ac:dyDescent="0.3">
      <c r="A321" s="2" t="s">
        <v>1407</v>
      </c>
      <c r="B321" s="2" t="s">
        <v>1408</v>
      </c>
      <c r="C321" s="2" t="s">
        <v>1409</v>
      </c>
      <c r="D321" s="2" t="s">
        <v>1368</v>
      </c>
      <c r="E321" s="2" t="s">
        <v>1409</v>
      </c>
      <c r="F321" s="2" t="s">
        <v>1409</v>
      </c>
      <c r="G321" s="5" t="str" cm="1">
        <f t="array" ref="G321">IFERROR(INDEX(City_Lookup!$B$2:$B$297,MATCH(TRUE,ISNUMBER(SEARCH(City_Lookup!$A$2:$A$297,$F321&amp;" "&amp;$E321)),0)),"Not Available")</f>
        <v>Chitwan</v>
      </c>
      <c r="H321" s="5" t="str">
        <f>IFERROR(INDEX(City_Lookup!$E$2:$E$66,MATCH($G321,City_Lookup!$D$2:$D$66,0)),"Not Available")</f>
        <v>Bagmati</v>
      </c>
      <c r="I321" s="5" t="s">
        <v>1259</v>
      </c>
      <c r="J321" s="2" t="s">
        <v>29</v>
      </c>
      <c r="K321" s="2" t="s">
        <v>1230</v>
      </c>
      <c r="L321" s="2"/>
      <c r="M321" s="2" t="s">
        <v>1230</v>
      </c>
      <c r="N321" s="2" t="s">
        <v>1397</v>
      </c>
      <c r="O321" s="2">
        <v>1</v>
      </c>
      <c r="P321" s="2" t="s">
        <v>27</v>
      </c>
      <c r="Q321" s="2" t="s">
        <v>1410</v>
      </c>
      <c r="R321" s="2" t="s">
        <v>33</v>
      </c>
      <c r="S321" s="2" t="s">
        <v>27</v>
      </c>
      <c r="T321" s="2" t="s">
        <v>34</v>
      </c>
      <c r="U321" s="2" t="s">
        <v>35</v>
      </c>
      <c r="V321" s="2" t="s">
        <v>36</v>
      </c>
      <c r="W321" s="2" t="s">
        <v>37</v>
      </c>
      <c r="X321" s="6" t="s">
        <v>2486</v>
      </c>
      <c r="Y321" s="6" t="s">
        <v>2499</v>
      </c>
      <c r="Z321" t="str">
        <f t="shared" si="24"/>
        <v>97714153051</v>
      </c>
      <c r="AA321" t="str">
        <f t="shared" si="25"/>
        <v>14153051</v>
      </c>
      <c r="AB321" t="str">
        <f t="shared" si="26"/>
        <v>14153051</v>
      </c>
      <c r="AC321" t="str">
        <f t="shared" si="27"/>
        <v>+97714153051</v>
      </c>
      <c r="AD321" t="str">
        <f t="shared" si="28"/>
        <v>Landline</v>
      </c>
      <c r="AE321" t="str">
        <f t="shared" si="29"/>
        <v>Valid</v>
      </c>
    </row>
    <row r="322" spans="1:31" x14ac:dyDescent="0.3">
      <c r="A322" s="2" t="s">
        <v>1411</v>
      </c>
      <c r="B322" s="2" t="s">
        <v>1412</v>
      </c>
      <c r="C322" s="2" t="s">
        <v>190</v>
      </c>
      <c r="D322" s="2" t="s">
        <v>1413</v>
      </c>
      <c r="E322" s="2" t="s">
        <v>190</v>
      </c>
      <c r="F322" s="2" t="s">
        <v>190</v>
      </c>
      <c r="G322" s="5" t="str" cm="1">
        <f t="array" ref="G322">IFERROR(INDEX(City_Lookup!$B$2:$B$297,MATCH(TRUE,ISNUMBER(SEARCH(City_Lookup!$A$2:$A$297,$F322&amp;" "&amp;$E322)),0)),"Not Available")</f>
        <v>Nuwakot</v>
      </c>
      <c r="H322" s="5" t="str">
        <f>IFERROR(INDEX(City_Lookup!$E$2:$E$66,MATCH($G322,City_Lookup!$D$2:$D$66,0)),"Not Available")</f>
        <v>Bagmati</v>
      </c>
      <c r="I322" s="2" t="s">
        <v>1259</v>
      </c>
      <c r="J322" s="2" t="s">
        <v>29</v>
      </c>
      <c r="K322" s="5">
        <v>30</v>
      </c>
      <c r="L322" s="2"/>
      <c r="M322" s="5">
        <f t="shared" ref="M322:M353" si="30">IF($K322&lt;&gt;"",$K322,$L322)</f>
        <v>30</v>
      </c>
      <c r="N322" s="2" t="s">
        <v>1414</v>
      </c>
      <c r="O322" s="2">
        <v>1</v>
      </c>
      <c r="P322" s="2" t="s">
        <v>1415</v>
      </c>
      <c r="Q322" s="2" t="s">
        <v>1416</v>
      </c>
      <c r="R322" s="2" t="s">
        <v>33</v>
      </c>
      <c r="S322" s="2" t="s">
        <v>27</v>
      </c>
      <c r="T322" s="2" t="s">
        <v>34</v>
      </c>
      <c r="U322" s="2" t="s">
        <v>35</v>
      </c>
      <c r="V322" s="2" t="s">
        <v>36</v>
      </c>
      <c r="W322" s="2" t="s">
        <v>37</v>
      </c>
      <c r="X322" s="4" t="s">
        <v>1415</v>
      </c>
      <c r="Y322" s="4" t="s">
        <v>2501</v>
      </c>
      <c r="Z322" t="str">
        <f t="shared" si="24"/>
        <v>9779761888797</v>
      </c>
      <c r="AA322" t="str">
        <f t="shared" si="25"/>
        <v>9761888797</v>
      </c>
      <c r="AB322" t="str">
        <f t="shared" si="26"/>
        <v>9761888797</v>
      </c>
      <c r="AC322" t="str">
        <f t="shared" si="27"/>
        <v>+9779761888797</v>
      </c>
      <c r="AD322" t="str">
        <f t="shared" si="28"/>
        <v>Mobile</v>
      </c>
      <c r="AE322" t="str">
        <f t="shared" si="29"/>
        <v>Valid</v>
      </c>
    </row>
    <row r="323" spans="1:31" x14ac:dyDescent="0.3">
      <c r="A323" s="2" t="s">
        <v>1417</v>
      </c>
      <c r="B323" s="2" t="s">
        <v>1418</v>
      </c>
      <c r="C323" s="2" t="s">
        <v>834</v>
      </c>
      <c r="D323" s="2" t="s">
        <v>1413</v>
      </c>
      <c r="E323" s="2" t="s">
        <v>834</v>
      </c>
      <c r="F323" s="2" t="s">
        <v>834</v>
      </c>
      <c r="G323" s="5" t="str" cm="1">
        <f t="array" ref="G323">IFERROR(INDEX(City_Lookup!$B$2:$B$297,MATCH(TRUE,ISNUMBER(SEARCH(City_Lookup!$A$2:$A$297,$F323&amp;" "&amp;$E323)),0)),"Not Available")</f>
        <v>Kaski</v>
      </c>
      <c r="H323" s="5" t="str">
        <f>IFERROR(INDEX(City_Lookup!$E$2:$E$66,MATCH($G323,City_Lookup!$D$2:$D$66,0)),"Not Available")</f>
        <v>Gandaki</v>
      </c>
      <c r="I323" s="2" t="s">
        <v>1259</v>
      </c>
      <c r="J323" s="2" t="s">
        <v>29</v>
      </c>
      <c r="K323" s="5">
        <v>30</v>
      </c>
      <c r="L323" s="2"/>
      <c r="M323" s="5">
        <f t="shared" si="30"/>
        <v>30</v>
      </c>
      <c r="N323" s="2" t="s">
        <v>1414</v>
      </c>
      <c r="O323" s="2">
        <v>1</v>
      </c>
      <c r="P323" s="2" t="s">
        <v>2490</v>
      </c>
      <c r="Q323" s="2" t="s">
        <v>1419</v>
      </c>
      <c r="R323" s="2" t="s">
        <v>33</v>
      </c>
      <c r="S323" s="2" t="s">
        <v>27</v>
      </c>
      <c r="T323" s="2" t="s">
        <v>34</v>
      </c>
      <c r="U323" s="2" t="s">
        <v>35</v>
      </c>
      <c r="V323" s="2" t="s">
        <v>36</v>
      </c>
      <c r="W323" s="2" t="s">
        <v>37</v>
      </c>
      <c r="X323" s="4" t="s">
        <v>2490</v>
      </c>
      <c r="Y323" s="4" t="s">
        <v>2501</v>
      </c>
      <c r="Z323" t="str">
        <f t="shared" ref="Z323:Z386" si="31">IF($X323="Not Available","",TRIM(LEFT(SUBSTITUTE(SUBSTITUTE(SUBSTITUTE(SUBSTITUTE(SUBSTITUTE(SUBSTITUTE(SUBSTITUTE($X323," ",""),"-",""),"(",""),")",""),".",""),"+","")&amp;"/","/",REPT(" ",60)),60)))</f>
        <v>9779761888797</v>
      </c>
      <c r="AA323" t="str">
        <f t="shared" ref="AA323:AA386" si="32">IF($Z323="","",IF(ISNUMBER(-$Z323),IF(LEFT($Z323,3)="977",MID($Z323,4,20),$Z323),IF(ISNUMBER(SEARCH("977",$Z323)),MID($Z323,SEARCH("977",$Z323)+3,20),$Z323)))</f>
        <v>9761888797</v>
      </c>
      <c r="AB323" t="str">
        <f t="shared" ref="AB323:AB386" si="33">IF($AA323="","",IF(LEFT($AA323,1)="0",MID($AA323,2,20),$AA323))</f>
        <v>9761888797</v>
      </c>
      <c r="AC323" t="str">
        <f t="shared" ref="AC323:AC386" si="34">IF($AB323="","Not Available","+977"&amp;$AB323)</f>
        <v>+9779761888797</v>
      </c>
      <c r="AD323" t="str">
        <f t="shared" ref="AD323:AD386" si="35">IF($AB323="","Not Available",IF(AND(LEN($AB323)=10,LEFT($AB323,1)="9"),"Mobile",IF(AND(LEN($AB323)&gt;=8,LEN($AB323)&lt;=9),IF(ISNUMBER(SEARCH("/",$X323)),"Landline (multiple lines)","Landline"),"Unrecognised")))</f>
        <v>Mobile</v>
      </c>
      <c r="AE323" t="str">
        <f t="shared" ref="AE323:AE386" si="36">IF($AB323="","Not Available",IF(AND(ISNUMBER(-$AB323),$AD323&lt;&gt;"Unrecognised"),"Valid","Check format"))</f>
        <v>Valid</v>
      </c>
    </row>
    <row r="324" spans="1:31" x14ac:dyDescent="0.3">
      <c r="A324" s="2" t="s">
        <v>1420</v>
      </c>
      <c r="B324" s="2" t="s">
        <v>1421</v>
      </c>
      <c r="C324" s="2" t="s">
        <v>1422</v>
      </c>
      <c r="D324" s="2" t="s">
        <v>1413</v>
      </c>
      <c r="E324" s="2" t="s">
        <v>1422</v>
      </c>
      <c r="F324" s="2" t="s">
        <v>1422</v>
      </c>
      <c r="G324" s="5" t="str" cm="1">
        <f t="array" ref="G324">IFERROR(INDEX(City_Lookup!$B$2:$B$297,MATCH(TRUE,ISNUMBER(SEARCH(City_Lookup!$A$2:$A$297,$F324&amp;" "&amp;$E324)),0)),"Not Available")</f>
        <v>Dhading</v>
      </c>
      <c r="H324" s="5" t="str">
        <f>IFERROR(INDEX(City_Lookup!$E$2:$E$66,MATCH($G324,City_Lookup!$D$2:$D$66,0)),"Not Available")</f>
        <v>Bagmati</v>
      </c>
      <c r="I324" s="2" t="s">
        <v>1259</v>
      </c>
      <c r="J324" s="2" t="s">
        <v>29</v>
      </c>
      <c r="K324" s="5">
        <v>30</v>
      </c>
      <c r="L324" s="2"/>
      <c r="M324" s="5">
        <f t="shared" si="30"/>
        <v>30</v>
      </c>
      <c r="N324" s="2" t="s">
        <v>1414</v>
      </c>
      <c r="O324" s="2">
        <v>1</v>
      </c>
      <c r="P324" s="2" t="s">
        <v>2490</v>
      </c>
      <c r="Q324" s="2" t="s">
        <v>1423</v>
      </c>
      <c r="R324" s="2" t="s">
        <v>33</v>
      </c>
      <c r="S324" s="2" t="s">
        <v>27</v>
      </c>
      <c r="T324" s="2" t="s">
        <v>34</v>
      </c>
      <c r="U324" s="2" t="s">
        <v>35</v>
      </c>
      <c r="V324" s="2" t="s">
        <v>36</v>
      </c>
      <c r="W324" s="2" t="s">
        <v>37</v>
      </c>
      <c r="X324" s="4" t="s">
        <v>2490</v>
      </c>
      <c r="Y324" s="4" t="s">
        <v>2501</v>
      </c>
      <c r="Z324" t="str">
        <f t="shared" si="31"/>
        <v>9779761888797</v>
      </c>
      <c r="AA324" t="str">
        <f t="shared" si="32"/>
        <v>9761888797</v>
      </c>
      <c r="AB324" t="str">
        <f t="shared" si="33"/>
        <v>9761888797</v>
      </c>
      <c r="AC324" t="str">
        <f t="shared" si="34"/>
        <v>+9779761888797</v>
      </c>
      <c r="AD324" t="str">
        <f t="shared" si="35"/>
        <v>Mobile</v>
      </c>
      <c r="AE324" t="str">
        <f t="shared" si="36"/>
        <v>Valid</v>
      </c>
    </row>
    <row r="325" spans="1:31" x14ac:dyDescent="0.3">
      <c r="A325" s="2" t="s">
        <v>1424</v>
      </c>
      <c r="B325" s="2" t="s">
        <v>1425</v>
      </c>
      <c r="C325" s="2" t="s">
        <v>1152</v>
      </c>
      <c r="D325" s="2" t="s">
        <v>1413</v>
      </c>
      <c r="E325" s="2" t="s">
        <v>1152</v>
      </c>
      <c r="F325" s="2" t="s">
        <v>1152</v>
      </c>
      <c r="G325" s="5" t="str" cm="1">
        <f t="array" ref="G325">IFERROR(INDEX(City_Lookup!$B$2:$B$297,MATCH(TRUE,ISNUMBER(SEARCH(City_Lookup!$A$2:$A$297,$F325&amp;" "&amp;$E325)),0)),"Not Available")</f>
        <v>Kailali</v>
      </c>
      <c r="H325" s="5" t="str">
        <f>IFERROR(INDEX(City_Lookup!$E$2:$E$66,MATCH($G325,City_Lookup!$D$2:$D$66,0)),"Not Available")</f>
        <v>Sudurpashchim</v>
      </c>
      <c r="I325" s="2" t="s">
        <v>1259</v>
      </c>
      <c r="J325" s="2" t="s">
        <v>29</v>
      </c>
      <c r="K325" s="5">
        <v>30</v>
      </c>
      <c r="L325" s="2"/>
      <c r="M325" s="5">
        <f t="shared" si="30"/>
        <v>30</v>
      </c>
      <c r="N325" s="2" t="s">
        <v>1414</v>
      </c>
      <c r="O325" s="2">
        <v>1</v>
      </c>
      <c r="P325" s="2" t="s">
        <v>2490</v>
      </c>
      <c r="Q325" s="2" t="s">
        <v>1426</v>
      </c>
      <c r="R325" s="2" t="s">
        <v>33</v>
      </c>
      <c r="S325" s="2" t="s">
        <v>27</v>
      </c>
      <c r="T325" s="2" t="s">
        <v>34</v>
      </c>
      <c r="U325" s="2" t="s">
        <v>35</v>
      </c>
      <c r="V325" s="2" t="s">
        <v>36</v>
      </c>
      <c r="W325" s="2" t="s">
        <v>37</v>
      </c>
      <c r="X325" s="4" t="s">
        <v>2490</v>
      </c>
      <c r="Y325" s="4" t="s">
        <v>2501</v>
      </c>
      <c r="Z325" t="str">
        <f t="shared" si="31"/>
        <v>9779761888797</v>
      </c>
      <c r="AA325" t="str">
        <f t="shared" si="32"/>
        <v>9761888797</v>
      </c>
      <c r="AB325" t="str">
        <f t="shared" si="33"/>
        <v>9761888797</v>
      </c>
      <c r="AC325" t="str">
        <f t="shared" si="34"/>
        <v>+9779761888797</v>
      </c>
      <c r="AD325" t="str">
        <f t="shared" si="35"/>
        <v>Mobile</v>
      </c>
      <c r="AE325" t="str">
        <f t="shared" si="36"/>
        <v>Valid</v>
      </c>
    </row>
    <row r="326" spans="1:31" x14ac:dyDescent="0.3">
      <c r="A326" s="2" t="s">
        <v>1427</v>
      </c>
      <c r="B326" s="2" t="s">
        <v>1428</v>
      </c>
      <c r="C326" s="2" t="s">
        <v>1182</v>
      </c>
      <c r="D326" s="2" t="s">
        <v>1413</v>
      </c>
      <c r="E326" s="2" t="s">
        <v>1182</v>
      </c>
      <c r="F326" s="2" t="s">
        <v>1182</v>
      </c>
      <c r="G326" s="5" t="str" cm="1">
        <f t="array" ref="G326">IFERROR(INDEX(City_Lookup!$B$2:$B$297,MATCH(TRUE,ISNUMBER(SEARCH(City_Lookup!$A$2:$A$297,$F326&amp;" "&amp;$E326)),0)),"Not Available")</f>
        <v>Mahottari</v>
      </c>
      <c r="H326" s="5" t="str">
        <f>IFERROR(INDEX(City_Lookup!$E$2:$E$66,MATCH($G326,City_Lookup!$D$2:$D$66,0)),"Not Available")</f>
        <v>Madhesh</v>
      </c>
      <c r="I326" s="2" t="s">
        <v>1259</v>
      </c>
      <c r="J326" s="2" t="s">
        <v>29</v>
      </c>
      <c r="K326" s="5">
        <v>30</v>
      </c>
      <c r="L326" s="2"/>
      <c r="M326" s="5">
        <f t="shared" si="30"/>
        <v>30</v>
      </c>
      <c r="N326" s="2" t="s">
        <v>1414</v>
      </c>
      <c r="O326" s="2">
        <v>1</v>
      </c>
      <c r="P326" s="2" t="s">
        <v>2490</v>
      </c>
      <c r="Q326" s="2" t="s">
        <v>1429</v>
      </c>
      <c r="R326" s="2" t="s">
        <v>33</v>
      </c>
      <c r="S326" s="2" t="s">
        <v>27</v>
      </c>
      <c r="T326" s="2" t="s">
        <v>34</v>
      </c>
      <c r="U326" s="2" t="s">
        <v>35</v>
      </c>
      <c r="V326" s="2" t="s">
        <v>36</v>
      </c>
      <c r="W326" s="2" t="s">
        <v>37</v>
      </c>
      <c r="X326" s="4" t="s">
        <v>2490</v>
      </c>
      <c r="Y326" s="4" t="s">
        <v>2501</v>
      </c>
      <c r="Z326" t="str">
        <f t="shared" si="31"/>
        <v>9779761888797</v>
      </c>
      <c r="AA326" t="str">
        <f t="shared" si="32"/>
        <v>9761888797</v>
      </c>
      <c r="AB326" t="str">
        <f t="shared" si="33"/>
        <v>9761888797</v>
      </c>
      <c r="AC326" t="str">
        <f t="shared" si="34"/>
        <v>+9779761888797</v>
      </c>
      <c r="AD326" t="str">
        <f t="shared" si="35"/>
        <v>Mobile</v>
      </c>
      <c r="AE326" t="str">
        <f t="shared" si="36"/>
        <v>Valid</v>
      </c>
    </row>
    <row r="327" spans="1:31" x14ac:dyDescent="0.3">
      <c r="A327" s="2" t="s">
        <v>1430</v>
      </c>
      <c r="B327" s="2" t="s">
        <v>1431</v>
      </c>
      <c r="C327" s="2" t="s">
        <v>1432</v>
      </c>
      <c r="D327" s="2" t="s">
        <v>1413</v>
      </c>
      <c r="E327" s="2" t="s">
        <v>1432</v>
      </c>
      <c r="F327" s="2" t="s">
        <v>1432</v>
      </c>
      <c r="G327" s="5" t="str" cm="1">
        <f t="array" ref="G327">IFERROR(INDEX(City_Lookup!$B$2:$B$297,MATCH(TRUE,ISNUMBER(SEARCH(City_Lookup!$A$2:$A$297,$F327&amp;" "&amp;$E327)),0)),"Not Available")</f>
        <v>Lalitpur</v>
      </c>
      <c r="H327" s="5" t="str">
        <f>IFERROR(INDEX(City_Lookup!$E$2:$E$66,MATCH($G327,City_Lookup!$D$2:$D$66,0)),"Not Available")</f>
        <v>Bagmati</v>
      </c>
      <c r="I327" s="2" t="s">
        <v>1259</v>
      </c>
      <c r="J327" s="2" t="s">
        <v>29</v>
      </c>
      <c r="K327" s="5">
        <v>30</v>
      </c>
      <c r="L327" s="2"/>
      <c r="M327" s="5">
        <f t="shared" si="30"/>
        <v>30</v>
      </c>
      <c r="N327" s="2" t="s">
        <v>1414</v>
      </c>
      <c r="O327" s="2">
        <v>1</v>
      </c>
      <c r="P327" s="2" t="s">
        <v>2490</v>
      </c>
      <c r="Q327" s="2" t="s">
        <v>1433</v>
      </c>
      <c r="R327" s="2" t="s">
        <v>33</v>
      </c>
      <c r="S327" s="2" t="s">
        <v>27</v>
      </c>
      <c r="T327" s="2" t="s">
        <v>34</v>
      </c>
      <c r="U327" s="2" t="s">
        <v>35</v>
      </c>
      <c r="V327" s="2" t="s">
        <v>36</v>
      </c>
      <c r="W327" s="2" t="s">
        <v>37</v>
      </c>
      <c r="X327" s="4" t="s">
        <v>2490</v>
      </c>
      <c r="Y327" s="4" t="s">
        <v>2501</v>
      </c>
      <c r="Z327" t="str">
        <f t="shared" si="31"/>
        <v>9779761888797</v>
      </c>
      <c r="AA327" t="str">
        <f t="shared" si="32"/>
        <v>9761888797</v>
      </c>
      <c r="AB327" t="str">
        <f t="shared" si="33"/>
        <v>9761888797</v>
      </c>
      <c r="AC327" t="str">
        <f t="shared" si="34"/>
        <v>+9779761888797</v>
      </c>
      <c r="AD327" t="str">
        <f t="shared" si="35"/>
        <v>Mobile</v>
      </c>
      <c r="AE327" t="str">
        <f t="shared" si="36"/>
        <v>Valid</v>
      </c>
    </row>
    <row r="328" spans="1:31" x14ac:dyDescent="0.3">
      <c r="A328" s="2" t="s">
        <v>1434</v>
      </c>
      <c r="B328" s="2" t="s">
        <v>1435</v>
      </c>
      <c r="C328" s="2" t="s">
        <v>163</v>
      </c>
      <c r="D328" s="2" t="s">
        <v>1413</v>
      </c>
      <c r="E328" s="2" t="s">
        <v>163</v>
      </c>
      <c r="F328" s="2" t="s">
        <v>163</v>
      </c>
      <c r="G328" s="5" t="str" cm="1">
        <f t="array" ref="G328">IFERROR(INDEX(City_Lookup!$B$2:$B$297,MATCH(TRUE,ISNUMBER(SEARCH(City_Lookup!$A$2:$A$297,$F328&amp;" "&amp;$E328)),0)),"Not Available")</f>
        <v>Sunsari</v>
      </c>
      <c r="H328" s="5" t="str">
        <f>IFERROR(INDEX(City_Lookup!$E$2:$E$66,MATCH($G328,City_Lookup!$D$2:$D$66,0)),"Not Available")</f>
        <v>Koshi</v>
      </c>
      <c r="I328" s="2" t="s">
        <v>1259</v>
      </c>
      <c r="J328" s="2" t="s">
        <v>29</v>
      </c>
      <c r="K328" s="5">
        <v>30</v>
      </c>
      <c r="L328" s="2"/>
      <c r="M328" s="5">
        <f t="shared" si="30"/>
        <v>30</v>
      </c>
      <c r="N328" s="2" t="s">
        <v>1414</v>
      </c>
      <c r="O328" s="2">
        <v>1</v>
      </c>
      <c r="P328" s="2" t="s">
        <v>2490</v>
      </c>
      <c r="Q328" s="2" t="s">
        <v>922</v>
      </c>
      <c r="R328" s="2" t="s">
        <v>33</v>
      </c>
      <c r="S328" s="2" t="s">
        <v>27</v>
      </c>
      <c r="T328" s="2" t="s">
        <v>34</v>
      </c>
      <c r="U328" s="2" t="s">
        <v>35</v>
      </c>
      <c r="V328" s="2" t="s">
        <v>36</v>
      </c>
      <c r="W328" s="2" t="s">
        <v>37</v>
      </c>
      <c r="X328" s="4" t="s">
        <v>2490</v>
      </c>
      <c r="Y328" s="4" t="s">
        <v>2501</v>
      </c>
      <c r="Z328" t="str">
        <f t="shared" si="31"/>
        <v>9779761888797</v>
      </c>
      <c r="AA328" t="str">
        <f t="shared" si="32"/>
        <v>9761888797</v>
      </c>
      <c r="AB328" t="str">
        <f t="shared" si="33"/>
        <v>9761888797</v>
      </c>
      <c r="AC328" t="str">
        <f t="shared" si="34"/>
        <v>+9779761888797</v>
      </c>
      <c r="AD328" t="str">
        <f t="shared" si="35"/>
        <v>Mobile</v>
      </c>
      <c r="AE328" t="str">
        <f t="shared" si="36"/>
        <v>Valid</v>
      </c>
    </row>
    <row r="329" spans="1:31" x14ac:dyDescent="0.3">
      <c r="A329" s="2" t="s">
        <v>1436</v>
      </c>
      <c r="B329" s="2" t="s">
        <v>1437</v>
      </c>
      <c r="C329" s="2" t="s">
        <v>1438</v>
      </c>
      <c r="D329" s="2" t="s">
        <v>1413</v>
      </c>
      <c r="E329" s="2" t="s">
        <v>1438</v>
      </c>
      <c r="F329" s="2" t="s">
        <v>1438</v>
      </c>
      <c r="G329" s="5" t="str" cm="1">
        <f t="array" ref="G329">IFERROR(INDEX(City_Lookup!$B$2:$B$297,MATCH(TRUE,ISNUMBER(SEARCH(City_Lookup!$A$2:$A$297,$F329&amp;" "&amp;$E329)),0)),"Not Available")</f>
        <v>Kathmandu</v>
      </c>
      <c r="H329" s="5" t="str">
        <f>IFERROR(INDEX(City_Lookup!$E$2:$E$66,MATCH($G329,City_Lookup!$D$2:$D$66,0)),"Not Available")</f>
        <v>Bagmati</v>
      </c>
      <c r="I329" s="2" t="s">
        <v>1259</v>
      </c>
      <c r="J329" s="2" t="s">
        <v>29</v>
      </c>
      <c r="K329" s="5">
        <v>30</v>
      </c>
      <c r="L329" s="2"/>
      <c r="M329" s="5">
        <f t="shared" si="30"/>
        <v>30</v>
      </c>
      <c r="N329" s="2" t="s">
        <v>1414</v>
      </c>
      <c r="O329" s="2">
        <v>1</v>
      </c>
      <c r="P329" s="2" t="s">
        <v>2490</v>
      </c>
      <c r="Q329" s="2" t="s">
        <v>1439</v>
      </c>
      <c r="R329" s="2" t="s">
        <v>33</v>
      </c>
      <c r="S329" s="2" t="s">
        <v>27</v>
      </c>
      <c r="T329" s="2" t="s">
        <v>34</v>
      </c>
      <c r="U329" s="2" t="s">
        <v>35</v>
      </c>
      <c r="V329" s="2" t="s">
        <v>36</v>
      </c>
      <c r="W329" s="2" t="s">
        <v>37</v>
      </c>
      <c r="X329" s="4" t="s">
        <v>2490</v>
      </c>
      <c r="Y329" s="4" t="s">
        <v>2501</v>
      </c>
      <c r="Z329" t="str">
        <f t="shared" si="31"/>
        <v>9779761888797</v>
      </c>
      <c r="AA329" t="str">
        <f t="shared" si="32"/>
        <v>9761888797</v>
      </c>
      <c r="AB329" t="str">
        <f t="shared" si="33"/>
        <v>9761888797</v>
      </c>
      <c r="AC329" t="str">
        <f t="shared" si="34"/>
        <v>+9779761888797</v>
      </c>
      <c r="AD329" t="str">
        <f t="shared" si="35"/>
        <v>Mobile</v>
      </c>
      <c r="AE329" t="str">
        <f t="shared" si="36"/>
        <v>Valid</v>
      </c>
    </row>
    <row r="330" spans="1:31" x14ac:dyDescent="0.3">
      <c r="A330" s="2" t="s">
        <v>1440</v>
      </c>
      <c r="B330" s="2" t="s">
        <v>1441</v>
      </c>
      <c r="C330" s="2" t="s">
        <v>1442</v>
      </c>
      <c r="D330" s="2" t="s">
        <v>1413</v>
      </c>
      <c r="E330" s="2" t="s">
        <v>1442</v>
      </c>
      <c r="F330" s="2" t="s">
        <v>1442</v>
      </c>
      <c r="G330" s="5" t="str" cm="1">
        <f t="array" ref="G330">IFERROR(INDEX(City_Lookup!$B$2:$B$297,MATCH(TRUE,ISNUMBER(SEARCH(City_Lookup!$A$2:$A$297,$F330&amp;" "&amp;$E330)),0)),"Not Available")</f>
        <v>Lalitpur</v>
      </c>
      <c r="H330" s="5" t="str">
        <f>IFERROR(INDEX(City_Lookup!$E$2:$E$66,MATCH($G330,City_Lookup!$D$2:$D$66,0)),"Not Available")</f>
        <v>Bagmati</v>
      </c>
      <c r="I330" s="2" t="s">
        <v>1259</v>
      </c>
      <c r="J330" s="2" t="s">
        <v>29</v>
      </c>
      <c r="K330" s="5">
        <v>30</v>
      </c>
      <c r="L330" s="2"/>
      <c r="M330" s="5">
        <f t="shared" si="30"/>
        <v>30</v>
      </c>
      <c r="N330" s="2" t="s">
        <v>1414</v>
      </c>
      <c r="O330" s="2">
        <v>1</v>
      </c>
      <c r="P330" s="2" t="s">
        <v>2490</v>
      </c>
      <c r="Q330" s="2" t="s">
        <v>1443</v>
      </c>
      <c r="R330" s="2" t="s">
        <v>33</v>
      </c>
      <c r="S330" s="2" t="s">
        <v>27</v>
      </c>
      <c r="T330" s="2" t="s">
        <v>34</v>
      </c>
      <c r="U330" s="2" t="s">
        <v>35</v>
      </c>
      <c r="V330" s="2" t="s">
        <v>36</v>
      </c>
      <c r="W330" s="2" t="s">
        <v>37</v>
      </c>
      <c r="X330" s="4" t="s">
        <v>2490</v>
      </c>
      <c r="Y330" s="4" t="s">
        <v>2501</v>
      </c>
      <c r="Z330" t="str">
        <f t="shared" si="31"/>
        <v>9779761888797</v>
      </c>
      <c r="AA330" t="str">
        <f t="shared" si="32"/>
        <v>9761888797</v>
      </c>
      <c r="AB330" t="str">
        <f t="shared" si="33"/>
        <v>9761888797</v>
      </c>
      <c r="AC330" t="str">
        <f t="shared" si="34"/>
        <v>+9779761888797</v>
      </c>
      <c r="AD330" t="str">
        <f t="shared" si="35"/>
        <v>Mobile</v>
      </c>
      <c r="AE330" t="str">
        <f t="shared" si="36"/>
        <v>Valid</v>
      </c>
    </row>
    <row r="331" spans="1:31" x14ac:dyDescent="0.3">
      <c r="A331" s="2" t="s">
        <v>1444</v>
      </c>
      <c r="B331" s="2" t="s">
        <v>1445</v>
      </c>
      <c r="C331" s="2" t="s">
        <v>82</v>
      </c>
      <c r="D331" s="2" t="s">
        <v>1413</v>
      </c>
      <c r="E331" s="2" t="s">
        <v>82</v>
      </c>
      <c r="F331" s="2" t="s">
        <v>82</v>
      </c>
      <c r="G331" s="5" t="str" cm="1">
        <f t="array" ref="G331">IFERROR(INDEX(City_Lookup!$B$2:$B$297,MATCH(TRUE,ISNUMBER(SEARCH(City_Lookup!$A$2:$A$297,$F331&amp;" "&amp;$E331)),0)),"Not Available")</f>
        <v>Sindhuli</v>
      </c>
      <c r="H331" s="5" t="str">
        <f>IFERROR(INDEX(City_Lookup!$E$2:$E$66,MATCH($G331,City_Lookup!$D$2:$D$66,0)),"Not Available")</f>
        <v>Bagmati</v>
      </c>
      <c r="I331" s="2" t="s">
        <v>1259</v>
      </c>
      <c r="J331" s="2" t="s">
        <v>29</v>
      </c>
      <c r="K331" s="5">
        <v>30</v>
      </c>
      <c r="L331" s="2"/>
      <c r="M331" s="5">
        <f t="shared" si="30"/>
        <v>30</v>
      </c>
      <c r="N331" s="2" t="s">
        <v>1414</v>
      </c>
      <c r="O331" s="2">
        <v>1</v>
      </c>
      <c r="P331" s="2" t="s">
        <v>2490</v>
      </c>
      <c r="Q331" s="2" t="s">
        <v>697</v>
      </c>
      <c r="R331" s="2" t="s">
        <v>33</v>
      </c>
      <c r="S331" s="2" t="s">
        <v>27</v>
      </c>
      <c r="T331" s="2" t="s">
        <v>34</v>
      </c>
      <c r="U331" s="2" t="s">
        <v>35</v>
      </c>
      <c r="V331" s="2" t="s">
        <v>36</v>
      </c>
      <c r="W331" s="2" t="s">
        <v>37</v>
      </c>
      <c r="X331" s="4" t="s">
        <v>2490</v>
      </c>
      <c r="Y331" s="4" t="s">
        <v>2501</v>
      </c>
      <c r="Z331" t="str">
        <f t="shared" si="31"/>
        <v>9779761888797</v>
      </c>
      <c r="AA331" t="str">
        <f t="shared" si="32"/>
        <v>9761888797</v>
      </c>
      <c r="AB331" t="str">
        <f t="shared" si="33"/>
        <v>9761888797</v>
      </c>
      <c r="AC331" t="str">
        <f t="shared" si="34"/>
        <v>+9779761888797</v>
      </c>
      <c r="AD331" t="str">
        <f t="shared" si="35"/>
        <v>Mobile</v>
      </c>
      <c r="AE331" t="str">
        <f t="shared" si="36"/>
        <v>Valid</v>
      </c>
    </row>
    <row r="332" spans="1:31" x14ac:dyDescent="0.3">
      <c r="A332" s="2" t="s">
        <v>1446</v>
      </c>
      <c r="B332" s="2" t="s">
        <v>1447</v>
      </c>
      <c r="C332" s="2" t="s">
        <v>1448</v>
      </c>
      <c r="D332" s="2" t="s">
        <v>1413</v>
      </c>
      <c r="E332" s="2" t="s">
        <v>1448</v>
      </c>
      <c r="F332" s="2" t="s">
        <v>1448</v>
      </c>
      <c r="G332" s="5" t="str" cm="1">
        <f t="array" ref="G332">IFERROR(INDEX(City_Lookup!$B$2:$B$297,MATCH(TRUE,ISNUMBER(SEARCH(City_Lookup!$A$2:$A$297,$F332&amp;" "&amp;$E332)),0)),"Not Available")</f>
        <v>Jhapa</v>
      </c>
      <c r="H332" s="5" t="str">
        <f>IFERROR(INDEX(City_Lookup!$E$2:$E$66,MATCH($G332,City_Lookup!$D$2:$D$66,0)),"Not Available")</f>
        <v>Koshi</v>
      </c>
      <c r="I332" s="2" t="s">
        <v>1259</v>
      </c>
      <c r="J332" s="2" t="s">
        <v>29</v>
      </c>
      <c r="K332" s="5">
        <v>30</v>
      </c>
      <c r="L332" s="2"/>
      <c r="M332" s="5">
        <f t="shared" si="30"/>
        <v>30</v>
      </c>
      <c r="N332" s="2" t="s">
        <v>1414</v>
      </c>
      <c r="O332" s="2">
        <v>1</v>
      </c>
      <c r="P332" s="2" t="s">
        <v>2490</v>
      </c>
      <c r="Q332" s="2" t="s">
        <v>1449</v>
      </c>
      <c r="R332" s="2" t="s">
        <v>33</v>
      </c>
      <c r="S332" s="2" t="s">
        <v>27</v>
      </c>
      <c r="T332" s="2" t="s">
        <v>34</v>
      </c>
      <c r="U332" s="2" t="s">
        <v>35</v>
      </c>
      <c r="V332" s="2" t="s">
        <v>36</v>
      </c>
      <c r="W332" s="2" t="s">
        <v>37</v>
      </c>
      <c r="X332" s="4" t="s">
        <v>2490</v>
      </c>
      <c r="Y332" s="4" t="s">
        <v>2501</v>
      </c>
      <c r="Z332" t="str">
        <f t="shared" si="31"/>
        <v>9779761888797</v>
      </c>
      <c r="AA332" t="str">
        <f t="shared" si="32"/>
        <v>9761888797</v>
      </c>
      <c r="AB332" t="str">
        <f t="shared" si="33"/>
        <v>9761888797</v>
      </c>
      <c r="AC332" t="str">
        <f t="shared" si="34"/>
        <v>+9779761888797</v>
      </c>
      <c r="AD332" t="str">
        <f t="shared" si="35"/>
        <v>Mobile</v>
      </c>
      <c r="AE332" t="str">
        <f t="shared" si="36"/>
        <v>Valid</v>
      </c>
    </row>
    <row r="333" spans="1:31" x14ac:dyDescent="0.3">
      <c r="A333" s="2" t="s">
        <v>1450</v>
      </c>
      <c r="B333" s="2" t="s">
        <v>1451</v>
      </c>
      <c r="C333" s="2" t="s">
        <v>272</v>
      </c>
      <c r="D333" s="2" t="s">
        <v>1413</v>
      </c>
      <c r="E333" s="2" t="s">
        <v>272</v>
      </c>
      <c r="F333" s="2" t="s">
        <v>272</v>
      </c>
      <c r="G333" s="5" t="str" cm="1">
        <f t="array" ref="G333">IFERROR(INDEX(City_Lookup!$B$2:$B$297,MATCH(TRUE,ISNUMBER(SEARCH(City_Lookup!$A$2:$A$297,$F333&amp;" "&amp;$E333)),0)),"Not Available")</f>
        <v>Dang</v>
      </c>
      <c r="H333" s="5" t="str">
        <f>IFERROR(INDEX(City_Lookup!$E$2:$E$66,MATCH($G333,City_Lookup!$D$2:$D$66,0)),"Not Available")</f>
        <v>Lumbini</v>
      </c>
      <c r="I333" s="2" t="s">
        <v>1259</v>
      </c>
      <c r="J333" s="2" t="s">
        <v>29</v>
      </c>
      <c r="K333" s="5">
        <v>30</v>
      </c>
      <c r="L333" s="2"/>
      <c r="M333" s="5">
        <f t="shared" si="30"/>
        <v>30</v>
      </c>
      <c r="N333" s="2" t="s">
        <v>1414</v>
      </c>
      <c r="O333" s="2">
        <v>1</v>
      </c>
      <c r="P333" s="2" t="s">
        <v>2490</v>
      </c>
      <c r="Q333" s="2" t="s">
        <v>1452</v>
      </c>
      <c r="R333" s="2" t="s">
        <v>33</v>
      </c>
      <c r="S333" s="2" t="s">
        <v>27</v>
      </c>
      <c r="T333" s="2" t="s">
        <v>34</v>
      </c>
      <c r="U333" s="2" t="s">
        <v>35</v>
      </c>
      <c r="V333" s="2" t="s">
        <v>36</v>
      </c>
      <c r="W333" s="2" t="s">
        <v>37</v>
      </c>
      <c r="X333" s="4" t="s">
        <v>2490</v>
      </c>
      <c r="Y333" s="4" t="s">
        <v>2501</v>
      </c>
      <c r="Z333" t="str">
        <f t="shared" si="31"/>
        <v>9779761888797</v>
      </c>
      <c r="AA333" t="str">
        <f t="shared" si="32"/>
        <v>9761888797</v>
      </c>
      <c r="AB333" t="str">
        <f t="shared" si="33"/>
        <v>9761888797</v>
      </c>
      <c r="AC333" t="str">
        <f t="shared" si="34"/>
        <v>+9779761888797</v>
      </c>
      <c r="AD333" t="str">
        <f t="shared" si="35"/>
        <v>Mobile</v>
      </c>
      <c r="AE333" t="str">
        <f t="shared" si="36"/>
        <v>Valid</v>
      </c>
    </row>
    <row r="334" spans="1:31" x14ac:dyDescent="0.3">
      <c r="A334" s="2" t="s">
        <v>1453</v>
      </c>
      <c r="B334" s="2" t="s">
        <v>1454</v>
      </c>
      <c r="C334" s="2" t="s">
        <v>176</v>
      </c>
      <c r="D334" s="2" t="s">
        <v>1413</v>
      </c>
      <c r="E334" s="2" t="s">
        <v>176</v>
      </c>
      <c r="F334" s="2" t="s">
        <v>176</v>
      </c>
      <c r="G334" s="5" t="str" cm="1">
        <f t="array" ref="G334">IFERROR(INDEX(City_Lookup!$B$2:$B$297,MATCH(TRUE,ISNUMBER(SEARCH(City_Lookup!$A$2:$A$297,$F334&amp;" "&amp;$E334)),0)),"Not Available")</f>
        <v>Banke</v>
      </c>
      <c r="H334" s="5" t="str">
        <f>IFERROR(INDEX(City_Lookup!$E$2:$E$66,MATCH($G334,City_Lookup!$D$2:$D$66,0)),"Not Available")</f>
        <v>Lumbini</v>
      </c>
      <c r="I334" s="2" t="s">
        <v>1259</v>
      </c>
      <c r="J334" s="2" t="s">
        <v>29</v>
      </c>
      <c r="K334" s="5">
        <v>30</v>
      </c>
      <c r="L334" s="2"/>
      <c r="M334" s="5">
        <f t="shared" si="30"/>
        <v>30</v>
      </c>
      <c r="N334" s="2" t="s">
        <v>1414</v>
      </c>
      <c r="O334" s="2">
        <v>1</v>
      </c>
      <c r="P334" s="2" t="s">
        <v>1415</v>
      </c>
      <c r="Q334" s="2" t="s">
        <v>1455</v>
      </c>
      <c r="R334" s="2" t="s">
        <v>33</v>
      </c>
      <c r="S334" s="2" t="s">
        <v>27</v>
      </c>
      <c r="T334" s="2" t="s">
        <v>34</v>
      </c>
      <c r="U334" s="2" t="s">
        <v>35</v>
      </c>
      <c r="V334" s="2" t="s">
        <v>36</v>
      </c>
      <c r="W334" s="2" t="s">
        <v>37</v>
      </c>
      <c r="X334" s="4" t="s">
        <v>1415</v>
      </c>
      <c r="Y334" s="4" t="s">
        <v>2501</v>
      </c>
      <c r="Z334" t="str">
        <f t="shared" si="31"/>
        <v>9779761888797</v>
      </c>
      <c r="AA334" t="str">
        <f t="shared" si="32"/>
        <v>9761888797</v>
      </c>
      <c r="AB334" t="str">
        <f t="shared" si="33"/>
        <v>9761888797</v>
      </c>
      <c r="AC334" t="str">
        <f t="shared" si="34"/>
        <v>+9779761888797</v>
      </c>
      <c r="AD334" t="str">
        <f t="shared" si="35"/>
        <v>Mobile</v>
      </c>
      <c r="AE334" t="str">
        <f t="shared" si="36"/>
        <v>Valid</v>
      </c>
    </row>
    <row r="335" spans="1:31" x14ac:dyDescent="0.3">
      <c r="A335" s="2" t="s">
        <v>1456</v>
      </c>
      <c r="B335" s="2" t="s">
        <v>1457</v>
      </c>
      <c r="C335" s="2" t="s">
        <v>1033</v>
      </c>
      <c r="D335" s="2" t="s">
        <v>1413</v>
      </c>
      <c r="E335" s="2" t="s">
        <v>1033</v>
      </c>
      <c r="F335" s="2" t="s">
        <v>1033</v>
      </c>
      <c r="G335" s="5" t="str" cm="1">
        <f t="array" ref="G335">IFERROR(INDEX(City_Lookup!$B$2:$B$297,MATCH(TRUE,ISNUMBER(SEARCH(City_Lookup!$A$2:$A$297,$F335&amp;" "&amp;$E335)),0)),"Not Available")</f>
        <v>Rupandehi</v>
      </c>
      <c r="H335" s="5" t="str">
        <f>IFERROR(INDEX(City_Lookup!$E$2:$E$66,MATCH($G335,City_Lookup!$D$2:$D$66,0)),"Not Available")</f>
        <v>Lumbini</v>
      </c>
      <c r="I335" s="2" t="s">
        <v>1259</v>
      </c>
      <c r="J335" s="2" t="s">
        <v>29</v>
      </c>
      <c r="K335" s="5">
        <v>30</v>
      </c>
      <c r="L335" s="2"/>
      <c r="M335" s="5">
        <f t="shared" si="30"/>
        <v>30</v>
      </c>
      <c r="N335" s="2" t="s">
        <v>1414</v>
      </c>
      <c r="O335" s="2">
        <v>1</v>
      </c>
      <c r="P335" s="2" t="s">
        <v>2490</v>
      </c>
      <c r="Q335" s="2" t="s">
        <v>1034</v>
      </c>
      <c r="R335" s="2" t="s">
        <v>33</v>
      </c>
      <c r="S335" s="2" t="s">
        <v>27</v>
      </c>
      <c r="T335" s="2" t="s">
        <v>34</v>
      </c>
      <c r="U335" s="2" t="s">
        <v>35</v>
      </c>
      <c r="V335" s="2" t="s">
        <v>36</v>
      </c>
      <c r="W335" s="2" t="s">
        <v>37</v>
      </c>
      <c r="X335" s="4" t="s">
        <v>2490</v>
      </c>
      <c r="Y335" s="4" t="s">
        <v>2501</v>
      </c>
      <c r="Z335" t="str">
        <f t="shared" si="31"/>
        <v>9779761888797</v>
      </c>
      <c r="AA335" t="str">
        <f t="shared" si="32"/>
        <v>9761888797</v>
      </c>
      <c r="AB335" t="str">
        <f t="shared" si="33"/>
        <v>9761888797</v>
      </c>
      <c r="AC335" t="str">
        <f t="shared" si="34"/>
        <v>+9779761888797</v>
      </c>
      <c r="AD335" t="str">
        <f t="shared" si="35"/>
        <v>Mobile</v>
      </c>
      <c r="AE335" t="str">
        <f t="shared" si="36"/>
        <v>Valid</v>
      </c>
    </row>
    <row r="336" spans="1:31" x14ac:dyDescent="0.3">
      <c r="A336" s="2" t="s">
        <v>1458</v>
      </c>
      <c r="B336" s="2" t="s">
        <v>1459</v>
      </c>
      <c r="C336" s="2" t="s">
        <v>1460</v>
      </c>
      <c r="D336" s="2" t="s">
        <v>1413</v>
      </c>
      <c r="E336" s="2" t="s">
        <v>1460</v>
      </c>
      <c r="F336" s="2" t="s">
        <v>1460</v>
      </c>
      <c r="G336" s="5" t="str" cm="1">
        <f t="array" ref="G336">IFERROR(INDEX(City_Lookup!$B$2:$B$297,MATCH(TRUE,ISNUMBER(SEARCH(City_Lookup!$A$2:$A$297,$F336&amp;" "&amp;$E336)),0)),"Not Available")</f>
        <v>Nawalpur</v>
      </c>
      <c r="H336" s="5" t="str">
        <f>IFERROR(INDEX(City_Lookup!$E$2:$E$66,MATCH($G336,City_Lookup!$D$2:$D$66,0)),"Not Available")</f>
        <v>Gandaki</v>
      </c>
      <c r="I336" s="2" t="s">
        <v>1259</v>
      </c>
      <c r="J336" s="2" t="s">
        <v>29</v>
      </c>
      <c r="K336" s="5">
        <v>30</v>
      </c>
      <c r="L336" s="2"/>
      <c r="M336" s="5">
        <f t="shared" si="30"/>
        <v>30</v>
      </c>
      <c r="N336" s="2" t="s">
        <v>1414</v>
      </c>
      <c r="O336" s="2">
        <v>1</v>
      </c>
      <c r="P336" s="2" t="s">
        <v>2490</v>
      </c>
      <c r="Q336" s="2" t="s">
        <v>1461</v>
      </c>
      <c r="R336" s="2" t="s">
        <v>33</v>
      </c>
      <c r="S336" s="2" t="s">
        <v>27</v>
      </c>
      <c r="T336" s="2" t="s">
        <v>34</v>
      </c>
      <c r="U336" s="2" t="s">
        <v>35</v>
      </c>
      <c r="V336" s="2" t="s">
        <v>36</v>
      </c>
      <c r="W336" s="2" t="s">
        <v>37</v>
      </c>
      <c r="X336" s="4" t="s">
        <v>2490</v>
      </c>
      <c r="Y336" s="4" t="s">
        <v>2501</v>
      </c>
      <c r="Z336" t="str">
        <f t="shared" si="31"/>
        <v>9779761888797</v>
      </c>
      <c r="AA336" t="str">
        <f t="shared" si="32"/>
        <v>9761888797</v>
      </c>
      <c r="AB336" t="str">
        <f t="shared" si="33"/>
        <v>9761888797</v>
      </c>
      <c r="AC336" t="str">
        <f t="shared" si="34"/>
        <v>+9779761888797</v>
      </c>
      <c r="AD336" t="str">
        <f t="shared" si="35"/>
        <v>Mobile</v>
      </c>
      <c r="AE336" t="str">
        <f t="shared" si="36"/>
        <v>Valid</v>
      </c>
    </row>
    <row r="337" spans="1:31" x14ac:dyDescent="0.3">
      <c r="A337" s="2" t="s">
        <v>1462</v>
      </c>
      <c r="B337" s="2" t="s">
        <v>1463</v>
      </c>
      <c r="C337" s="2" t="s">
        <v>1464</v>
      </c>
      <c r="D337" s="2" t="s">
        <v>1413</v>
      </c>
      <c r="E337" s="2" t="s">
        <v>1464</v>
      </c>
      <c r="F337" s="2" t="s">
        <v>1464</v>
      </c>
      <c r="G337" s="5" t="str" cm="1">
        <f t="array" ref="G337">IFERROR(INDEX(City_Lookup!$B$2:$B$297,MATCH(TRUE,ISNUMBER(SEARCH(City_Lookup!$A$2:$A$297,$F337&amp;" "&amp;$E337)),0)),"Not Available")</f>
        <v>Kathmandu</v>
      </c>
      <c r="H337" s="5" t="str">
        <f>IFERROR(INDEX(City_Lookup!$E$2:$E$66,MATCH($G337,City_Lookup!$D$2:$D$66,0)),"Not Available")</f>
        <v>Bagmati</v>
      </c>
      <c r="I337" s="2" t="s">
        <v>1259</v>
      </c>
      <c r="J337" s="2" t="s">
        <v>29</v>
      </c>
      <c r="K337" s="5">
        <v>30</v>
      </c>
      <c r="L337" s="2"/>
      <c r="M337" s="5">
        <f t="shared" si="30"/>
        <v>30</v>
      </c>
      <c r="N337" s="2" t="s">
        <v>1414</v>
      </c>
      <c r="O337" s="2">
        <v>1</v>
      </c>
      <c r="P337" s="2" t="s">
        <v>2490</v>
      </c>
      <c r="Q337" s="2" t="s">
        <v>1465</v>
      </c>
      <c r="R337" s="2" t="s">
        <v>33</v>
      </c>
      <c r="S337" s="2" t="s">
        <v>27</v>
      </c>
      <c r="T337" s="2" t="s">
        <v>34</v>
      </c>
      <c r="U337" s="2" t="s">
        <v>35</v>
      </c>
      <c r="V337" s="2" t="s">
        <v>36</v>
      </c>
      <c r="W337" s="2" t="s">
        <v>37</v>
      </c>
      <c r="X337" s="4" t="s">
        <v>2490</v>
      </c>
      <c r="Y337" s="4" t="s">
        <v>2501</v>
      </c>
      <c r="Z337" t="str">
        <f t="shared" si="31"/>
        <v>9779761888797</v>
      </c>
      <c r="AA337" t="str">
        <f t="shared" si="32"/>
        <v>9761888797</v>
      </c>
      <c r="AB337" t="str">
        <f t="shared" si="33"/>
        <v>9761888797</v>
      </c>
      <c r="AC337" t="str">
        <f t="shared" si="34"/>
        <v>+9779761888797</v>
      </c>
      <c r="AD337" t="str">
        <f t="shared" si="35"/>
        <v>Mobile</v>
      </c>
      <c r="AE337" t="str">
        <f t="shared" si="36"/>
        <v>Valid</v>
      </c>
    </row>
    <row r="338" spans="1:31" x14ac:dyDescent="0.3">
      <c r="A338" s="2" t="s">
        <v>1466</v>
      </c>
      <c r="B338" s="2" t="s">
        <v>1467</v>
      </c>
      <c r="C338" s="2" t="s">
        <v>1468</v>
      </c>
      <c r="D338" s="2" t="s">
        <v>1413</v>
      </c>
      <c r="E338" s="2" t="s">
        <v>1468</v>
      </c>
      <c r="F338" s="2" t="s">
        <v>1468</v>
      </c>
      <c r="G338" s="5" t="str" cm="1">
        <f t="array" ref="G338">IFERROR(INDEX(City_Lookup!$B$2:$B$297,MATCH(TRUE,ISNUMBER(SEARCH(City_Lookup!$A$2:$A$297,$F338&amp;" "&amp;$E338)),0)),"Not Available")</f>
        <v>Udayapur</v>
      </c>
      <c r="H338" s="5" t="str">
        <f>IFERROR(INDEX(City_Lookup!$E$2:$E$66,MATCH($G338,City_Lookup!$D$2:$D$66,0)),"Not Available")</f>
        <v>Koshi</v>
      </c>
      <c r="I338" s="2" t="s">
        <v>1259</v>
      </c>
      <c r="J338" s="2" t="s">
        <v>29</v>
      </c>
      <c r="K338" s="5">
        <v>30</v>
      </c>
      <c r="L338" s="2"/>
      <c r="M338" s="5">
        <f t="shared" si="30"/>
        <v>30</v>
      </c>
      <c r="N338" s="2" t="s">
        <v>1414</v>
      </c>
      <c r="O338" s="2">
        <v>1</v>
      </c>
      <c r="P338" s="2" t="s">
        <v>1415</v>
      </c>
      <c r="Q338" s="2" t="s">
        <v>1469</v>
      </c>
      <c r="R338" s="2" t="s">
        <v>33</v>
      </c>
      <c r="S338" s="2" t="s">
        <v>27</v>
      </c>
      <c r="T338" s="2" t="s">
        <v>34</v>
      </c>
      <c r="U338" s="2" t="s">
        <v>35</v>
      </c>
      <c r="V338" s="2" t="s">
        <v>36</v>
      </c>
      <c r="W338" s="2" t="s">
        <v>37</v>
      </c>
      <c r="X338" s="4" t="s">
        <v>1415</v>
      </c>
      <c r="Y338" s="4" t="s">
        <v>2501</v>
      </c>
      <c r="Z338" t="str">
        <f t="shared" si="31"/>
        <v>9779761888797</v>
      </c>
      <c r="AA338" t="str">
        <f t="shared" si="32"/>
        <v>9761888797</v>
      </c>
      <c r="AB338" t="str">
        <f t="shared" si="33"/>
        <v>9761888797</v>
      </c>
      <c r="AC338" t="str">
        <f t="shared" si="34"/>
        <v>+9779761888797</v>
      </c>
      <c r="AD338" t="str">
        <f t="shared" si="35"/>
        <v>Mobile</v>
      </c>
      <c r="AE338" t="str">
        <f t="shared" si="36"/>
        <v>Valid</v>
      </c>
    </row>
    <row r="339" spans="1:31" x14ac:dyDescent="0.3">
      <c r="A339" s="2" t="s">
        <v>1470</v>
      </c>
      <c r="B339" s="2" t="s">
        <v>1471</v>
      </c>
      <c r="C339" s="2" t="s">
        <v>1472</v>
      </c>
      <c r="D339" s="2" t="s">
        <v>1473</v>
      </c>
      <c r="E339" s="2" t="s">
        <v>1474</v>
      </c>
      <c r="F339" s="2" t="s">
        <v>1474</v>
      </c>
      <c r="G339" s="5" t="str" cm="1">
        <f t="array" ref="G339">IFERROR(INDEX(City_Lookup!$B$2:$B$297,MATCH(TRUE,ISNUMBER(SEARCH(City_Lookup!$A$2:$A$297,$F339&amp;" "&amp;$E339)),0)),"Not Available")</f>
        <v>Gulmi</v>
      </c>
      <c r="H339" s="5" t="str">
        <f>IFERROR(INDEX(City_Lookup!$E$2:$E$66,MATCH($G339,City_Lookup!$D$2:$D$66,0)),"Not Available")</f>
        <v>Lumbini</v>
      </c>
      <c r="I339" s="2" t="s">
        <v>1259</v>
      </c>
      <c r="J339" s="5" t="s">
        <v>29</v>
      </c>
      <c r="K339" s="5">
        <v>30</v>
      </c>
      <c r="L339" s="2"/>
      <c r="M339" s="5">
        <f t="shared" si="30"/>
        <v>30</v>
      </c>
      <c r="N339" s="2" t="s">
        <v>2496</v>
      </c>
      <c r="O339" s="2">
        <v>1</v>
      </c>
      <c r="P339" s="2" t="s">
        <v>27</v>
      </c>
      <c r="Q339" s="2" t="s">
        <v>1475</v>
      </c>
      <c r="R339" s="2" t="s">
        <v>33</v>
      </c>
      <c r="S339" s="2" t="s">
        <v>27</v>
      </c>
      <c r="T339" s="2" t="s">
        <v>34</v>
      </c>
      <c r="U339" s="2" t="s">
        <v>35</v>
      </c>
      <c r="V339" s="2" t="s">
        <v>36</v>
      </c>
      <c r="W339" s="2" t="s">
        <v>37</v>
      </c>
      <c r="X339" s="6" t="s">
        <v>2486</v>
      </c>
      <c r="Y339" s="6" t="s">
        <v>2499</v>
      </c>
      <c r="Z339" t="str">
        <f t="shared" si="31"/>
        <v>97714153051</v>
      </c>
      <c r="AA339" t="str">
        <f t="shared" si="32"/>
        <v>14153051</v>
      </c>
      <c r="AB339" t="str">
        <f t="shared" si="33"/>
        <v>14153051</v>
      </c>
      <c r="AC339" t="str">
        <f t="shared" si="34"/>
        <v>+97714153051</v>
      </c>
      <c r="AD339" t="str">
        <f t="shared" si="35"/>
        <v>Landline</v>
      </c>
      <c r="AE339" t="str">
        <f t="shared" si="36"/>
        <v>Valid</v>
      </c>
    </row>
    <row r="340" spans="1:31" x14ac:dyDescent="0.3">
      <c r="A340" s="2" t="s">
        <v>1476</v>
      </c>
      <c r="B340" s="2" t="s">
        <v>1477</v>
      </c>
      <c r="C340" s="2" t="s">
        <v>1478</v>
      </c>
      <c r="D340" s="2" t="s">
        <v>1479</v>
      </c>
      <c r="E340" s="2" t="s">
        <v>1480</v>
      </c>
      <c r="F340" s="2" t="s">
        <v>1480</v>
      </c>
      <c r="G340" s="5" t="str" cm="1">
        <f t="array" ref="G340">IFERROR(INDEX(City_Lookup!$B$2:$B$297,MATCH(TRUE,ISNUMBER(SEARCH(City_Lookup!$A$2:$A$297,$F340&amp;" "&amp;$E340)),0)),"Not Available")</f>
        <v>Mahottari</v>
      </c>
      <c r="H340" s="5" t="str">
        <f>IFERROR(INDEX(City_Lookup!$E$2:$E$66,MATCH($G340,City_Lookup!$D$2:$D$66,0)),"Not Available")</f>
        <v>Madhesh</v>
      </c>
      <c r="I340" s="2" t="s">
        <v>1259</v>
      </c>
      <c r="J340" s="5" t="s">
        <v>29</v>
      </c>
      <c r="K340" s="5">
        <v>30</v>
      </c>
      <c r="L340" s="2"/>
      <c r="M340" s="5">
        <f t="shared" si="30"/>
        <v>30</v>
      </c>
      <c r="N340" s="2" t="s">
        <v>2497</v>
      </c>
      <c r="O340" s="2">
        <v>1</v>
      </c>
      <c r="P340" s="2" t="s">
        <v>27</v>
      </c>
      <c r="Q340" s="2" t="s">
        <v>1481</v>
      </c>
      <c r="R340" s="2" t="s">
        <v>33</v>
      </c>
      <c r="S340" s="2" t="s">
        <v>27</v>
      </c>
      <c r="T340" s="2" t="s">
        <v>34</v>
      </c>
      <c r="U340" s="2" t="s">
        <v>35</v>
      </c>
      <c r="V340" s="2" t="s">
        <v>36</v>
      </c>
      <c r="W340" s="2" t="s">
        <v>37</v>
      </c>
      <c r="X340" s="6" t="s">
        <v>2486</v>
      </c>
      <c r="Y340" s="6" t="s">
        <v>2499</v>
      </c>
      <c r="Z340" t="str">
        <f t="shared" si="31"/>
        <v>97714153051</v>
      </c>
      <c r="AA340" t="str">
        <f t="shared" si="32"/>
        <v>14153051</v>
      </c>
      <c r="AB340" t="str">
        <f t="shared" si="33"/>
        <v>14153051</v>
      </c>
      <c r="AC340" t="str">
        <f t="shared" si="34"/>
        <v>+97714153051</v>
      </c>
      <c r="AD340" t="str">
        <f t="shared" si="35"/>
        <v>Landline</v>
      </c>
      <c r="AE340" t="str">
        <f t="shared" si="36"/>
        <v>Valid</v>
      </c>
    </row>
    <row r="341" spans="1:31" x14ac:dyDescent="0.3">
      <c r="A341" s="2" t="s">
        <v>1482</v>
      </c>
      <c r="B341" s="2" t="s">
        <v>1483</v>
      </c>
      <c r="C341" s="2" t="s">
        <v>1484</v>
      </c>
      <c r="D341" s="2" t="s">
        <v>1479</v>
      </c>
      <c r="E341" s="2" t="s">
        <v>1182</v>
      </c>
      <c r="F341" s="2" t="s">
        <v>1182</v>
      </c>
      <c r="G341" s="5" t="str" cm="1">
        <f t="array" ref="G341">IFERROR(INDEX(City_Lookup!$B$2:$B$297,MATCH(TRUE,ISNUMBER(SEARCH(City_Lookup!$A$2:$A$297,$F341&amp;" "&amp;$E341)),0)),"Not Available")</f>
        <v>Mahottari</v>
      </c>
      <c r="H341" s="5" t="str">
        <f>IFERROR(INDEX(City_Lookup!$E$2:$E$66,MATCH($G341,City_Lookup!$D$2:$D$66,0)),"Not Available")</f>
        <v>Madhesh</v>
      </c>
      <c r="I341" s="2" t="s">
        <v>1259</v>
      </c>
      <c r="J341" s="5" t="s">
        <v>29</v>
      </c>
      <c r="K341" s="5">
        <v>30</v>
      </c>
      <c r="L341" s="2"/>
      <c r="M341" s="5">
        <f t="shared" si="30"/>
        <v>30</v>
      </c>
      <c r="N341" s="2" t="s">
        <v>2498</v>
      </c>
      <c r="O341" s="2">
        <v>1</v>
      </c>
      <c r="P341" s="2" t="s">
        <v>27</v>
      </c>
      <c r="Q341" s="2" t="s">
        <v>1485</v>
      </c>
      <c r="R341" s="2" t="s">
        <v>33</v>
      </c>
      <c r="S341" s="2" t="s">
        <v>27</v>
      </c>
      <c r="T341" s="2" t="s">
        <v>34</v>
      </c>
      <c r="U341" s="2" t="s">
        <v>35</v>
      </c>
      <c r="V341" s="2" t="s">
        <v>36</v>
      </c>
      <c r="W341" s="2" t="s">
        <v>37</v>
      </c>
      <c r="X341" s="6" t="s">
        <v>2486</v>
      </c>
      <c r="Y341" s="6" t="s">
        <v>2499</v>
      </c>
      <c r="Z341" t="str">
        <f t="shared" si="31"/>
        <v>97714153051</v>
      </c>
      <c r="AA341" t="str">
        <f t="shared" si="32"/>
        <v>14153051</v>
      </c>
      <c r="AB341" t="str">
        <f t="shared" si="33"/>
        <v>14153051</v>
      </c>
      <c r="AC341" t="str">
        <f t="shared" si="34"/>
        <v>+97714153051</v>
      </c>
      <c r="AD341" t="str">
        <f t="shared" si="35"/>
        <v>Landline</v>
      </c>
      <c r="AE341" t="str">
        <f t="shared" si="36"/>
        <v>Valid</v>
      </c>
    </row>
    <row r="342" spans="1:31" x14ac:dyDescent="0.3">
      <c r="A342" s="2" t="s">
        <v>1486</v>
      </c>
      <c r="B342" s="2" t="s">
        <v>1487</v>
      </c>
      <c r="C342" s="2" t="s">
        <v>1488</v>
      </c>
      <c r="D342" s="2" t="s">
        <v>1479</v>
      </c>
      <c r="E342" s="2" t="s">
        <v>1489</v>
      </c>
      <c r="F342" s="2" t="s">
        <v>1489</v>
      </c>
      <c r="G342" s="5" t="str" cm="1">
        <f t="array" ref="G342">IFERROR(INDEX(City_Lookup!$B$2:$B$297,MATCH(TRUE,ISNUMBER(SEARCH(City_Lookup!$A$2:$A$297,$F342&amp;" "&amp;$E342)),0)),"Not Available")</f>
        <v>Dhanusha</v>
      </c>
      <c r="H342" s="5" t="str">
        <f>IFERROR(INDEX(City_Lookup!$E$2:$E$66,MATCH($G342,City_Lookup!$D$2:$D$66,0)),"Not Available")</f>
        <v>Madhesh</v>
      </c>
      <c r="I342" s="2" t="s">
        <v>1259</v>
      </c>
      <c r="J342" s="5" t="s">
        <v>29</v>
      </c>
      <c r="K342" s="5">
        <v>30</v>
      </c>
      <c r="L342" s="2"/>
      <c r="M342" s="5">
        <f t="shared" si="30"/>
        <v>30</v>
      </c>
      <c r="N342" s="2" t="s">
        <v>2498</v>
      </c>
      <c r="O342" s="2">
        <v>1</v>
      </c>
      <c r="P342" s="2" t="s">
        <v>27</v>
      </c>
      <c r="Q342" s="2" t="s">
        <v>1490</v>
      </c>
      <c r="R342" s="2" t="s">
        <v>33</v>
      </c>
      <c r="S342" s="2" t="s">
        <v>27</v>
      </c>
      <c r="T342" s="2" t="s">
        <v>34</v>
      </c>
      <c r="U342" s="2" t="s">
        <v>35</v>
      </c>
      <c r="V342" s="2" t="s">
        <v>36</v>
      </c>
      <c r="W342" s="2" t="s">
        <v>37</v>
      </c>
      <c r="X342" s="6" t="s">
        <v>2486</v>
      </c>
      <c r="Y342" s="6" t="s">
        <v>2499</v>
      </c>
      <c r="Z342" t="str">
        <f t="shared" si="31"/>
        <v>97714153051</v>
      </c>
      <c r="AA342" t="str">
        <f t="shared" si="32"/>
        <v>14153051</v>
      </c>
      <c r="AB342" t="str">
        <f t="shared" si="33"/>
        <v>14153051</v>
      </c>
      <c r="AC342" t="str">
        <f t="shared" si="34"/>
        <v>+97714153051</v>
      </c>
      <c r="AD342" t="str">
        <f t="shared" si="35"/>
        <v>Landline</v>
      </c>
      <c r="AE342" t="str">
        <f t="shared" si="36"/>
        <v>Valid</v>
      </c>
    </row>
    <row r="343" spans="1:31" x14ac:dyDescent="0.3">
      <c r="A343" s="2" t="s">
        <v>1491</v>
      </c>
      <c r="B343" s="2" t="s">
        <v>1492</v>
      </c>
      <c r="C343" s="2" t="s">
        <v>1493</v>
      </c>
      <c r="D343" s="2" t="s">
        <v>1473</v>
      </c>
      <c r="E343" s="2" t="s">
        <v>1494</v>
      </c>
      <c r="F343" s="2" t="s">
        <v>1494</v>
      </c>
      <c r="G343" s="5" t="str" cm="1">
        <f t="array" ref="G343">IFERROR(INDEX(City_Lookup!$B$2:$B$297,MATCH(TRUE,ISNUMBER(SEARCH(City_Lookup!$A$2:$A$297,$F343&amp;" "&amp;$E343)),0)),"Not Available")</f>
        <v>Parsa</v>
      </c>
      <c r="H343" s="5" t="str">
        <f>IFERROR(INDEX(City_Lookup!$E$2:$E$66,MATCH($G343,City_Lookup!$D$2:$D$66,0)),"Not Available")</f>
        <v>Madhesh</v>
      </c>
      <c r="I343" s="2" t="s">
        <v>1259</v>
      </c>
      <c r="J343" s="5" t="s">
        <v>29</v>
      </c>
      <c r="K343" s="5">
        <v>30</v>
      </c>
      <c r="L343" s="2"/>
      <c r="M343" s="5">
        <f t="shared" si="30"/>
        <v>30</v>
      </c>
      <c r="N343" s="2" t="s">
        <v>2497</v>
      </c>
      <c r="O343" s="2">
        <v>1</v>
      </c>
      <c r="P343" s="2" t="s">
        <v>27</v>
      </c>
      <c r="Q343" s="2" t="s">
        <v>1495</v>
      </c>
      <c r="R343" s="2" t="s">
        <v>33</v>
      </c>
      <c r="S343" s="2" t="s">
        <v>27</v>
      </c>
      <c r="T343" s="2" t="s">
        <v>34</v>
      </c>
      <c r="U343" s="2" t="s">
        <v>35</v>
      </c>
      <c r="V343" s="2" t="s">
        <v>36</v>
      </c>
      <c r="W343" s="2" t="s">
        <v>37</v>
      </c>
      <c r="X343" s="6" t="s">
        <v>2486</v>
      </c>
      <c r="Y343" s="6" t="s">
        <v>2499</v>
      </c>
      <c r="Z343" t="str">
        <f t="shared" si="31"/>
        <v>97714153051</v>
      </c>
      <c r="AA343" t="str">
        <f t="shared" si="32"/>
        <v>14153051</v>
      </c>
      <c r="AB343" t="str">
        <f t="shared" si="33"/>
        <v>14153051</v>
      </c>
      <c r="AC343" t="str">
        <f t="shared" si="34"/>
        <v>+97714153051</v>
      </c>
      <c r="AD343" t="str">
        <f t="shared" si="35"/>
        <v>Landline</v>
      </c>
      <c r="AE343" t="str">
        <f t="shared" si="36"/>
        <v>Valid</v>
      </c>
    </row>
    <row r="344" spans="1:31" x14ac:dyDescent="0.3">
      <c r="A344" s="2" t="s">
        <v>1496</v>
      </c>
      <c r="B344" s="2" t="s">
        <v>1497</v>
      </c>
      <c r="C344" s="2" t="s">
        <v>1498</v>
      </c>
      <c r="D344" s="2" t="s">
        <v>1479</v>
      </c>
      <c r="E344" s="2" t="s">
        <v>1499</v>
      </c>
      <c r="F344" s="2" t="s">
        <v>1499</v>
      </c>
      <c r="G344" s="5" t="str" cm="1">
        <f t="array" ref="G344">IFERROR(INDEX(City_Lookup!$B$2:$B$297,MATCH(TRUE,ISNUMBER(SEARCH(City_Lookup!$A$2:$A$297,$F344&amp;" "&amp;$E344)),0)),"Not Available")</f>
        <v>Parsa</v>
      </c>
      <c r="H344" s="5" t="str">
        <f>IFERROR(INDEX(City_Lookup!$E$2:$E$66,MATCH($G344,City_Lookup!$D$2:$D$66,0)),"Not Available")</f>
        <v>Madhesh</v>
      </c>
      <c r="I344" s="2" t="s">
        <v>1259</v>
      </c>
      <c r="J344" s="5" t="s">
        <v>29</v>
      </c>
      <c r="K344" s="5">
        <v>30</v>
      </c>
      <c r="L344" s="2"/>
      <c r="M344" s="5">
        <f t="shared" si="30"/>
        <v>30</v>
      </c>
      <c r="N344" s="2" t="s">
        <v>2498</v>
      </c>
      <c r="O344" s="2">
        <v>1</v>
      </c>
      <c r="P344" s="2" t="s">
        <v>27</v>
      </c>
      <c r="Q344" s="2" t="s">
        <v>1500</v>
      </c>
      <c r="R344" s="2" t="s">
        <v>33</v>
      </c>
      <c r="S344" s="2" t="s">
        <v>27</v>
      </c>
      <c r="T344" s="2" t="s">
        <v>34</v>
      </c>
      <c r="U344" s="2" t="s">
        <v>35</v>
      </c>
      <c r="V344" s="2" t="s">
        <v>36</v>
      </c>
      <c r="W344" s="2" t="s">
        <v>37</v>
      </c>
      <c r="X344" s="6" t="s">
        <v>2486</v>
      </c>
      <c r="Y344" s="6" t="s">
        <v>2499</v>
      </c>
      <c r="Z344" t="str">
        <f t="shared" si="31"/>
        <v>97714153051</v>
      </c>
      <c r="AA344" t="str">
        <f t="shared" si="32"/>
        <v>14153051</v>
      </c>
      <c r="AB344" t="str">
        <f t="shared" si="33"/>
        <v>14153051</v>
      </c>
      <c r="AC344" t="str">
        <f t="shared" si="34"/>
        <v>+97714153051</v>
      </c>
      <c r="AD344" t="str">
        <f t="shared" si="35"/>
        <v>Landline</v>
      </c>
      <c r="AE344" t="str">
        <f t="shared" si="36"/>
        <v>Valid</v>
      </c>
    </row>
    <row r="345" spans="1:31" x14ac:dyDescent="0.3">
      <c r="A345" s="2" t="s">
        <v>1501</v>
      </c>
      <c r="B345" s="2" t="s">
        <v>1502</v>
      </c>
      <c r="C345" s="2" t="s">
        <v>1503</v>
      </c>
      <c r="D345" s="2" t="s">
        <v>1473</v>
      </c>
      <c r="E345" s="2" t="s">
        <v>1504</v>
      </c>
      <c r="F345" s="2" t="s">
        <v>1504</v>
      </c>
      <c r="G345" s="5" t="str" cm="1">
        <f t="array" ref="G345">IFERROR(INDEX(City_Lookup!$B$2:$B$297,MATCH(TRUE,ISNUMBER(SEARCH(City_Lookup!$A$2:$A$297,$F345&amp;" "&amp;$E345)),0)),"Not Available")</f>
        <v>Parsa</v>
      </c>
      <c r="H345" s="5" t="str">
        <f>IFERROR(INDEX(City_Lookup!$E$2:$E$66,MATCH($G345,City_Lookup!$D$2:$D$66,0)),"Not Available")</f>
        <v>Madhesh</v>
      </c>
      <c r="I345" s="2" t="s">
        <v>1259</v>
      </c>
      <c r="J345" s="5" t="s">
        <v>29</v>
      </c>
      <c r="K345" s="5">
        <v>30</v>
      </c>
      <c r="L345" s="2"/>
      <c r="M345" s="5">
        <f t="shared" si="30"/>
        <v>30</v>
      </c>
      <c r="N345" s="2" t="s">
        <v>2498</v>
      </c>
      <c r="O345" s="2">
        <v>1</v>
      </c>
      <c r="P345" s="2" t="s">
        <v>27</v>
      </c>
      <c r="Q345" s="2" t="s">
        <v>1505</v>
      </c>
      <c r="R345" s="2" t="s">
        <v>33</v>
      </c>
      <c r="S345" s="2" t="s">
        <v>27</v>
      </c>
      <c r="T345" s="2" t="s">
        <v>34</v>
      </c>
      <c r="U345" s="2" t="s">
        <v>35</v>
      </c>
      <c r="V345" s="2" t="s">
        <v>36</v>
      </c>
      <c r="W345" s="2" t="s">
        <v>37</v>
      </c>
      <c r="X345" s="6" t="s">
        <v>2486</v>
      </c>
      <c r="Y345" s="6" t="s">
        <v>2499</v>
      </c>
      <c r="Z345" t="str">
        <f t="shared" si="31"/>
        <v>97714153051</v>
      </c>
      <c r="AA345" t="str">
        <f t="shared" si="32"/>
        <v>14153051</v>
      </c>
      <c r="AB345" t="str">
        <f t="shared" si="33"/>
        <v>14153051</v>
      </c>
      <c r="AC345" t="str">
        <f t="shared" si="34"/>
        <v>+97714153051</v>
      </c>
      <c r="AD345" t="str">
        <f t="shared" si="35"/>
        <v>Landline</v>
      </c>
      <c r="AE345" t="str">
        <f t="shared" si="36"/>
        <v>Valid</v>
      </c>
    </row>
    <row r="346" spans="1:31" x14ac:dyDescent="0.3">
      <c r="A346" s="2" t="s">
        <v>1506</v>
      </c>
      <c r="B346" s="2" t="s">
        <v>1507</v>
      </c>
      <c r="C346" s="2" t="s">
        <v>1508</v>
      </c>
      <c r="D346" s="2" t="s">
        <v>1479</v>
      </c>
      <c r="E346" s="2" t="s">
        <v>1509</v>
      </c>
      <c r="F346" s="2" t="s">
        <v>1509</v>
      </c>
      <c r="G346" s="5" t="str" cm="1">
        <f t="array" ref="G346">IFERROR(INDEX(City_Lookup!$B$2:$B$297,MATCH(TRUE,ISNUMBER(SEARCH(City_Lookup!$A$2:$A$297,$F346&amp;" "&amp;$E346)),0)),"Not Available")</f>
        <v>Parsa</v>
      </c>
      <c r="H346" s="5" t="str">
        <f>IFERROR(INDEX(City_Lookup!$E$2:$E$66,MATCH($G346,City_Lookup!$D$2:$D$66,0)),"Not Available")</f>
        <v>Madhesh</v>
      </c>
      <c r="I346" s="2" t="s">
        <v>1259</v>
      </c>
      <c r="J346" s="5" t="s">
        <v>29</v>
      </c>
      <c r="K346" s="5">
        <v>30</v>
      </c>
      <c r="L346" s="2"/>
      <c r="M346" s="5">
        <f t="shared" si="30"/>
        <v>30</v>
      </c>
      <c r="N346" s="2" t="s">
        <v>2498</v>
      </c>
      <c r="O346" s="2">
        <v>1</v>
      </c>
      <c r="P346" s="2" t="s">
        <v>27</v>
      </c>
      <c r="Q346" s="2" t="s">
        <v>1510</v>
      </c>
      <c r="R346" s="2" t="s">
        <v>33</v>
      </c>
      <c r="S346" s="2" t="s">
        <v>27</v>
      </c>
      <c r="T346" s="2" t="s">
        <v>34</v>
      </c>
      <c r="U346" s="2" t="s">
        <v>35</v>
      </c>
      <c r="V346" s="2" t="s">
        <v>36</v>
      </c>
      <c r="W346" s="2" t="s">
        <v>37</v>
      </c>
      <c r="X346" s="6" t="s">
        <v>2486</v>
      </c>
      <c r="Y346" s="6" t="s">
        <v>2499</v>
      </c>
      <c r="Z346" t="str">
        <f t="shared" si="31"/>
        <v>97714153051</v>
      </c>
      <c r="AA346" t="str">
        <f t="shared" si="32"/>
        <v>14153051</v>
      </c>
      <c r="AB346" t="str">
        <f t="shared" si="33"/>
        <v>14153051</v>
      </c>
      <c r="AC346" t="str">
        <f t="shared" si="34"/>
        <v>+97714153051</v>
      </c>
      <c r="AD346" t="str">
        <f t="shared" si="35"/>
        <v>Landline</v>
      </c>
      <c r="AE346" t="str">
        <f t="shared" si="36"/>
        <v>Valid</v>
      </c>
    </row>
    <row r="347" spans="1:31" x14ac:dyDescent="0.3">
      <c r="A347" s="2" t="s">
        <v>1511</v>
      </c>
      <c r="B347" s="2" t="s">
        <v>1512</v>
      </c>
      <c r="C347" s="2" t="s">
        <v>1513</v>
      </c>
      <c r="D347" s="2" t="s">
        <v>1473</v>
      </c>
      <c r="E347" s="2" t="s">
        <v>1514</v>
      </c>
      <c r="F347" s="2" t="s">
        <v>1514</v>
      </c>
      <c r="G347" s="5" t="str" cm="1">
        <f t="array" ref="G347">IFERROR(INDEX(City_Lookup!$B$2:$B$297,MATCH(TRUE,ISNUMBER(SEARCH(City_Lookup!$A$2:$A$297,$F347&amp;" "&amp;$E347)),0)),"Not Available")</f>
        <v>Parsa</v>
      </c>
      <c r="H347" s="5" t="str">
        <f>IFERROR(INDEX(City_Lookup!$E$2:$E$66,MATCH($G347,City_Lookup!$D$2:$D$66,0)),"Not Available")</f>
        <v>Madhesh</v>
      </c>
      <c r="I347" s="2" t="s">
        <v>1259</v>
      </c>
      <c r="J347" s="5" t="s">
        <v>29</v>
      </c>
      <c r="K347" s="5">
        <v>30</v>
      </c>
      <c r="L347" s="2"/>
      <c r="M347" s="5">
        <f t="shared" si="30"/>
        <v>30</v>
      </c>
      <c r="N347" s="2" t="s">
        <v>2498</v>
      </c>
      <c r="O347" s="2">
        <v>1</v>
      </c>
      <c r="P347" s="2" t="s">
        <v>27</v>
      </c>
      <c r="Q347" s="2" t="s">
        <v>1515</v>
      </c>
      <c r="R347" s="2" t="s">
        <v>33</v>
      </c>
      <c r="S347" s="2" t="s">
        <v>27</v>
      </c>
      <c r="T347" s="2" t="s">
        <v>34</v>
      </c>
      <c r="U347" s="2" t="s">
        <v>35</v>
      </c>
      <c r="V347" s="2" t="s">
        <v>36</v>
      </c>
      <c r="W347" s="2" t="s">
        <v>37</v>
      </c>
      <c r="X347" s="6" t="s">
        <v>2486</v>
      </c>
      <c r="Y347" s="6" t="s">
        <v>2499</v>
      </c>
      <c r="Z347" t="str">
        <f t="shared" si="31"/>
        <v>97714153051</v>
      </c>
      <c r="AA347" t="str">
        <f t="shared" si="32"/>
        <v>14153051</v>
      </c>
      <c r="AB347" t="str">
        <f t="shared" si="33"/>
        <v>14153051</v>
      </c>
      <c r="AC347" t="str">
        <f t="shared" si="34"/>
        <v>+97714153051</v>
      </c>
      <c r="AD347" t="str">
        <f t="shared" si="35"/>
        <v>Landline</v>
      </c>
      <c r="AE347" t="str">
        <f t="shared" si="36"/>
        <v>Valid</v>
      </c>
    </row>
    <row r="348" spans="1:31" x14ac:dyDescent="0.3">
      <c r="A348" s="2" t="s">
        <v>1516</v>
      </c>
      <c r="B348" s="2" t="s">
        <v>1517</v>
      </c>
      <c r="C348" s="2" t="s">
        <v>1518</v>
      </c>
      <c r="D348" s="2" t="s">
        <v>1479</v>
      </c>
      <c r="E348" s="2" t="s">
        <v>1519</v>
      </c>
      <c r="F348" s="2" t="s">
        <v>1519</v>
      </c>
      <c r="G348" s="5" t="str" cm="1">
        <f t="array" ref="G348">IFERROR(INDEX(City_Lookup!$B$2:$B$297,MATCH(TRUE,ISNUMBER(SEARCH(City_Lookup!$A$2:$A$297,$F348&amp;" "&amp;$E348)),0)),"Not Available")</f>
        <v>Rautahat</v>
      </c>
      <c r="H348" s="5" t="str">
        <f>IFERROR(INDEX(City_Lookup!$E$2:$E$66,MATCH($G348,City_Lookup!$D$2:$D$66,0)),"Not Available")</f>
        <v>Madhesh</v>
      </c>
      <c r="I348" s="2" t="s">
        <v>1259</v>
      </c>
      <c r="J348" s="5" t="s">
        <v>29</v>
      </c>
      <c r="K348" s="5">
        <v>30</v>
      </c>
      <c r="L348" s="2"/>
      <c r="M348" s="5">
        <f t="shared" si="30"/>
        <v>30</v>
      </c>
      <c r="N348" s="2" t="s">
        <v>2491</v>
      </c>
      <c r="O348" s="2">
        <v>1</v>
      </c>
      <c r="P348" s="2" t="s">
        <v>27</v>
      </c>
      <c r="Q348" s="2" t="s">
        <v>1520</v>
      </c>
      <c r="R348" s="2" t="s">
        <v>33</v>
      </c>
      <c r="S348" s="2" t="s">
        <v>27</v>
      </c>
      <c r="T348" s="2" t="s">
        <v>34</v>
      </c>
      <c r="U348" s="2" t="s">
        <v>35</v>
      </c>
      <c r="V348" s="2" t="s">
        <v>36</v>
      </c>
      <c r="W348" s="2" t="s">
        <v>37</v>
      </c>
      <c r="X348" s="6" t="s">
        <v>2486</v>
      </c>
      <c r="Y348" s="6" t="s">
        <v>2499</v>
      </c>
      <c r="Z348" t="str">
        <f t="shared" si="31"/>
        <v>97714153051</v>
      </c>
      <c r="AA348" t="str">
        <f t="shared" si="32"/>
        <v>14153051</v>
      </c>
      <c r="AB348" t="str">
        <f t="shared" si="33"/>
        <v>14153051</v>
      </c>
      <c r="AC348" t="str">
        <f t="shared" si="34"/>
        <v>+97714153051</v>
      </c>
      <c r="AD348" t="str">
        <f t="shared" si="35"/>
        <v>Landline</v>
      </c>
      <c r="AE348" t="str">
        <f t="shared" si="36"/>
        <v>Valid</v>
      </c>
    </row>
    <row r="349" spans="1:31" x14ac:dyDescent="0.3">
      <c r="A349" s="2" t="s">
        <v>1521</v>
      </c>
      <c r="B349" s="2" t="s">
        <v>1522</v>
      </c>
      <c r="C349" s="2" t="s">
        <v>1523</v>
      </c>
      <c r="D349" s="2" t="s">
        <v>1473</v>
      </c>
      <c r="E349" s="2" t="s">
        <v>1524</v>
      </c>
      <c r="F349" s="2" t="s">
        <v>1524</v>
      </c>
      <c r="G349" s="5" t="str" cm="1">
        <f t="array" ref="G349">IFERROR(INDEX(City_Lookup!$B$2:$B$297,MATCH(TRUE,ISNUMBER(SEARCH(City_Lookup!$A$2:$A$297,$F349&amp;" "&amp;$E349)),0)),"Not Available")</f>
        <v>Rautahat</v>
      </c>
      <c r="H349" s="5" t="str">
        <f>IFERROR(INDEX(City_Lookup!$E$2:$E$66,MATCH($G349,City_Lookup!$D$2:$D$66,0)),"Not Available")</f>
        <v>Madhesh</v>
      </c>
      <c r="I349" s="2" t="s">
        <v>1259</v>
      </c>
      <c r="J349" s="5" t="s">
        <v>29</v>
      </c>
      <c r="K349" s="5">
        <v>30</v>
      </c>
      <c r="L349" s="2"/>
      <c r="M349" s="5">
        <f t="shared" si="30"/>
        <v>30</v>
      </c>
      <c r="N349" s="2" t="s">
        <v>2491</v>
      </c>
      <c r="O349" s="2">
        <v>1</v>
      </c>
      <c r="P349" s="2" t="s">
        <v>27</v>
      </c>
      <c r="Q349" s="2" t="s">
        <v>1525</v>
      </c>
      <c r="R349" s="2" t="s">
        <v>33</v>
      </c>
      <c r="S349" s="2" t="s">
        <v>27</v>
      </c>
      <c r="T349" s="2" t="s">
        <v>34</v>
      </c>
      <c r="U349" s="2" t="s">
        <v>35</v>
      </c>
      <c r="V349" s="2" t="s">
        <v>36</v>
      </c>
      <c r="W349" s="2" t="s">
        <v>37</v>
      </c>
      <c r="X349" s="6" t="s">
        <v>2486</v>
      </c>
      <c r="Y349" s="6" t="s">
        <v>2499</v>
      </c>
      <c r="Z349" t="str">
        <f t="shared" si="31"/>
        <v>97714153051</v>
      </c>
      <c r="AA349" t="str">
        <f t="shared" si="32"/>
        <v>14153051</v>
      </c>
      <c r="AB349" t="str">
        <f t="shared" si="33"/>
        <v>14153051</v>
      </c>
      <c r="AC349" t="str">
        <f t="shared" si="34"/>
        <v>+97714153051</v>
      </c>
      <c r="AD349" t="str">
        <f t="shared" si="35"/>
        <v>Landline</v>
      </c>
      <c r="AE349" t="str">
        <f t="shared" si="36"/>
        <v>Valid</v>
      </c>
    </row>
    <row r="350" spans="1:31" x14ac:dyDescent="0.3">
      <c r="A350" s="2" t="s">
        <v>1526</v>
      </c>
      <c r="B350" s="2" t="s">
        <v>1527</v>
      </c>
      <c r="C350" s="2" t="s">
        <v>1528</v>
      </c>
      <c r="D350" s="2" t="s">
        <v>1479</v>
      </c>
      <c r="E350" s="2" t="s">
        <v>1529</v>
      </c>
      <c r="F350" s="2" t="s">
        <v>1529</v>
      </c>
      <c r="G350" s="5" t="str" cm="1">
        <f t="array" ref="G350">IFERROR(INDEX(City_Lookup!$B$2:$B$297,MATCH(TRUE,ISNUMBER(SEARCH(City_Lookup!$A$2:$A$297,$F350&amp;" "&amp;$E350)),0)),"Not Available")</f>
        <v>Dhanusha</v>
      </c>
      <c r="H350" s="5" t="str">
        <f>IFERROR(INDEX(City_Lookup!$E$2:$E$66,MATCH($G350,City_Lookup!$D$2:$D$66,0)),"Not Available")</f>
        <v>Madhesh</v>
      </c>
      <c r="I350" s="2" t="s">
        <v>1259</v>
      </c>
      <c r="J350" s="5" t="s">
        <v>29</v>
      </c>
      <c r="K350" s="5">
        <v>30</v>
      </c>
      <c r="L350" s="2"/>
      <c r="M350" s="5">
        <f t="shared" si="30"/>
        <v>30</v>
      </c>
      <c r="N350" s="2" t="s">
        <v>2491</v>
      </c>
      <c r="O350" s="2">
        <v>1</v>
      </c>
      <c r="P350" s="2" t="s">
        <v>27</v>
      </c>
      <c r="Q350" s="2" t="s">
        <v>1530</v>
      </c>
      <c r="R350" s="2" t="s">
        <v>33</v>
      </c>
      <c r="S350" s="2" t="s">
        <v>27</v>
      </c>
      <c r="T350" s="2" t="s">
        <v>34</v>
      </c>
      <c r="U350" s="2" t="s">
        <v>35</v>
      </c>
      <c r="V350" s="2" t="s">
        <v>36</v>
      </c>
      <c r="W350" s="2" t="s">
        <v>37</v>
      </c>
      <c r="X350" s="6" t="s">
        <v>2486</v>
      </c>
      <c r="Y350" s="6" t="s">
        <v>2499</v>
      </c>
      <c r="Z350" t="str">
        <f t="shared" si="31"/>
        <v>97714153051</v>
      </c>
      <c r="AA350" t="str">
        <f t="shared" si="32"/>
        <v>14153051</v>
      </c>
      <c r="AB350" t="str">
        <f t="shared" si="33"/>
        <v>14153051</v>
      </c>
      <c r="AC350" t="str">
        <f t="shared" si="34"/>
        <v>+97714153051</v>
      </c>
      <c r="AD350" t="str">
        <f t="shared" si="35"/>
        <v>Landline</v>
      </c>
      <c r="AE350" t="str">
        <f t="shared" si="36"/>
        <v>Valid</v>
      </c>
    </row>
    <row r="351" spans="1:31" x14ac:dyDescent="0.3">
      <c r="A351" s="2" t="s">
        <v>1531</v>
      </c>
      <c r="B351" s="2" t="s">
        <v>1532</v>
      </c>
      <c r="C351" s="2" t="s">
        <v>1533</v>
      </c>
      <c r="D351" s="2" t="s">
        <v>1479</v>
      </c>
      <c r="E351" s="2" t="s">
        <v>1534</v>
      </c>
      <c r="F351" s="2" t="s">
        <v>1534</v>
      </c>
      <c r="G351" s="5" t="str" cm="1">
        <f t="array" ref="G351">IFERROR(INDEX(City_Lookup!$B$2:$B$297,MATCH(TRUE,ISNUMBER(SEARCH(City_Lookup!$A$2:$A$297,$F351&amp;" "&amp;$E351)),0)),"Not Available")</f>
        <v>Dhanusha</v>
      </c>
      <c r="H351" s="5" t="str">
        <f>IFERROR(INDEX(City_Lookup!$E$2:$E$66,MATCH($G351,City_Lookup!$D$2:$D$66,0)),"Not Available")</f>
        <v>Madhesh</v>
      </c>
      <c r="I351" s="2" t="s">
        <v>1259</v>
      </c>
      <c r="J351" s="5" t="s">
        <v>29</v>
      </c>
      <c r="K351" s="5">
        <v>30</v>
      </c>
      <c r="L351" s="2"/>
      <c r="M351" s="5">
        <f t="shared" si="30"/>
        <v>30</v>
      </c>
      <c r="N351" s="2" t="s">
        <v>2491</v>
      </c>
      <c r="O351" s="2">
        <v>1</v>
      </c>
      <c r="P351" s="2" t="s">
        <v>27</v>
      </c>
      <c r="Q351" s="2" t="s">
        <v>1535</v>
      </c>
      <c r="R351" s="2" t="s">
        <v>33</v>
      </c>
      <c r="S351" s="2" t="s">
        <v>27</v>
      </c>
      <c r="T351" s="2" t="s">
        <v>34</v>
      </c>
      <c r="U351" s="2" t="s">
        <v>35</v>
      </c>
      <c r="V351" s="2" t="s">
        <v>36</v>
      </c>
      <c r="W351" s="2" t="s">
        <v>37</v>
      </c>
      <c r="X351" s="6" t="s">
        <v>2486</v>
      </c>
      <c r="Y351" s="6" t="s">
        <v>2499</v>
      </c>
      <c r="Z351" t="str">
        <f t="shared" si="31"/>
        <v>97714153051</v>
      </c>
      <c r="AA351" t="str">
        <f t="shared" si="32"/>
        <v>14153051</v>
      </c>
      <c r="AB351" t="str">
        <f t="shared" si="33"/>
        <v>14153051</v>
      </c>
      <c r="AC351" t="str">
        <f t="shared" si="34"/>
        <v>+97714153051</v>
      </c>
      <c r="AD351" t="str">
        <f t="shared" si="35"/>
        <v>Landline</v>
      </c>
      <c r="AE351" t="str">
        <f t="shared" si="36"/>
        <v>Valid</v>
      </c>
    </row>
    <row r="352" spans="1:31" x14ac:dyDescent="0.3">
      <c r="A352" s="2" t="s">
        <v>1536</v>
      </c>
      <c r="B352" s="2" t="s">
        <v>1537</v>
      </c>
      <c r="C352" s="2" t="s">
        <v>1538</v>
      </c>
      <c r="D352" s="2" t="s">
        <v>1473</v>
      </c>
      <c r="E352" s="2" t="s">
        <v>1539</v>
      </c>
      <c r="F352" s="2" t="s">
        <v>1539</v>
      </c>
      <c r="G352" s="5" t="str" cm="1">
        <f t="array" ref="G352">IFERROR(INDEX(City_Lookup!$B$2:$B$297,MATCH(TRUE,ISNUMBER(SEARCH(City_Lookup!$A$2:$A$297,$F352&amp;" "&amp;$E352)),0)),"Not Available")</f>
        <v>Dhanusha</v>
      </c>
      <c r="H352" s="5" t="str">
        <f>IFERROR(INDEX(City_Lookup!$E$2:$E$66,MATCH($G352,City_Lookup!$D$2:$D$66,0)),"Not Available")</f>
        <v>Madhesh</v>
      </c>
      <c r="I352" s="2" t="s">
        <v>1259</v>
      </c>
      <c r="J352" s="5" t="s">
        <v>29</v>
      </c>
      <c r="K352" s="5">
        <v>30</v>
      </c>
      <c r="L352" s="2"/>
      <c r="M352" s="5">
        <f t="shared" si="30"/>
        <v>30</v>
      </c>
      <c r="N352" s="2" t="s">
        <v>2491</v>
      </c>
      <c r="O352" s="2">
        <v>1</v>
      </c>
      <c r="P352" s="2" t="s">
        <v>27</v>
      </c>
      <c r="Q352" s="2" t="s">
        <v>1540</v>
      </c>
      <c r="R352" s="2" t="s">
        <v>33</v>
      </c>
      <c r="S352" s="2" t="s">
        <v>27</v>
      </c>
      <c r="T352" s="2" t="s">
        <v>34</v>
      </c>
      <c r="U352" s="2" t="s">
        <v>35</v>
      </c>
      <c r="V352" s="2" t="s">
        <v>36</v>
      </c>
      <c r="W352" s="2" t="s">
        <v>37</v>
      </c>
      <c r="X352" s="6" t="s">
        <v>2486</v>
      </c>
      <c r="Y352" s="6" t="s">
        <v>2499</v>
      </c>
      <c r="Z352" t="str">
        <f t="shared" si="31"/>
        <v>97714153051</v>
      </c>
      <c r="AA352" t="str">
        <f t="shared" si="32"/>
        <v>14153051</v>
      </c>
      <c r="AB352" t="str">
        <f t="shared" si="33"/>
        <v>14153051</v>
      </c>
      <c r="AC352" t="str">
        <f t="shared" si="34"/>
        <v>+97714153051</v>
      </c>
      <c r="AD352" t="str">
        <f t="shared" si="35"/>
        <v>Landline</v>
      </c>
      <c r="AE352" t="str">
        <f t="shared" si="36"/>
        <v>Valid</v>
      </c>
    </row>
    <row r="353" spans="1:31" x14ac:dyDescent="0.3">
      <c r="A353" s="2" t="s">
        <v>1541</v>
      </c>
      <c r="B353" s="2" t="s">
        <v>1542</v>
      </c>
      <c r="C353" s="2" t="s">
        <v>1543</v>
      </c>
      <c r="D353" s="2" t="s">
        <v>1473</v>
      </c>
      <c r="E353" s="2" t="s">
        <v>1544</v>
      </c>
      <c r="F353" s="2" t="s">
        <v>1544</v>
      </c>
      <c r="G353" s="5" t="str" cm="1">
        <f t="array" ref="G353">IFERROR(INDEX(City_Lookup!$B$2:$B$297,MATCH(TRUE,ISNUMBER(SEARCH(City_Lookup!$A$2:$A$297,$F353&amp;" "&amp;$E353)),0)),"Not Available")</f>
        <v>Dhanusha</v>
      </c>
      <c r="H353" s="5" t="str">
        <f>IFERROR(INDEX(City_Lookup!$E$2:$E$66,MATCH($G353,City_Lookup!$D$2:$D$66,0)),"Not Available")</f>
        <v>Madhesh</v>
      </c>
      <c r="I353" s="2" t="s">
        <v>1259</v>
      </c>
      <c r="J353" s="5" t="s">
        <v>29</v>
      </c>
      <c r="K353" s="5">
        <v>30</v>
      </c>
      <c r="L353" s="2"/>
      <c r="M353" s="5">
        <f t="shared" si="30"/>
        <v>30</v>
      </c>
      <c r="N353" s="2" t="s">
        <v>2491</v>
      </c>
      <c r="O353" s="2">
        <v>1</v>
      </c>
      <c r="P353" s="2" t="s">
        <v>27</v>
      </c>
      <c r="Q353" s="2" t="s">
        <v>1545</v>
      </c>
      <c r="R353" s="2" t="s">
        <v>33</v>
      </c>
      <c r="S353" s="2" t="s">
        <v>27</v>
      </c>
      <c r="T353" s="2" t="s">
        <v>34</v>
      </c>
      <c r="U353" s="2" t="s">
        <v>35</v>
      </c>
      <c r="V353" s="2" t="s">
        <v>36</v>
      </c>
      <c r="W353" s="2" t="s">
        <v>37</v>
      </c>
      <c r="X353" s="6" t="s">
        <v>2486</v>
      </c>
      <c r="Y353" s="6" t="s">
        <v>2499</v>
      </c>
      <c r="Z353" t="str">
        <f t="shared" si="31"/>
        <v>97714153051</v>
      </c>
      <c r="AA353" t="str">
        <f t="shared" si="32"/>
        <v>14153051</v>
      </c>
      <c r="AB353" t="str">
        <f t="shared" si="33"/>
        <v>14153051</v>
      </c>
      <c r="AC353" t="str">
        <f t="shared" si="34"/>
        <v>+97714153051</v>
      </c>
      <c r="AD353" t="str">
        <f t="shared" si="35"/>
        <v>Landline</v>
      </c>
      <c r="AE353" t="str">
        <f t="shared" si="36"/>
        <v>Valid</v>
      </c>
    </row>
    <row r="354" spans="1:31" x14ac:dyDescent="0.3">
      <c r="A354" s="2" t="s">
        <v>1546</v>
      </c>
      <c r="B354" s="2" t="s">
        <v>1547</v>
      </c>
      <c r="C354" s="2" t="s">
        <v>1548</v>
      </c>
      <c r="D354" s="2" t="s">
        <v>1479</v>
      </c>
      <c r="E354" s="2" t="s">
        <v>1549</v>
      </c>
      <c r="F354" s="2" t="s">
        <v>1549</v>
      </c>
      <c r="G354" s="5" t="str" cm="1">
        <f t="array" ref="G354">IFERROR(INDEX(City_Lookup!$B$2:$B$297,MATCH(TRUE,ISNUMBER(SEARCH(City_Lookup!$A$2:$A$297,$F354&amp;" "&amp;$E354)),0)),"Not Available")</f>
        <v>Dhanusha</v>
      </c>
      <c r="H354" s="5" t="str">
        <f>IFERROR(INDEX(City_Lookup!$E$2:$E$66,MATCH($G354,City_Lookup!$D$2:$D$66,0)),"Not Available")</f>
        <v>Madhesh</v>
      </c>
      <c r="I354" s="2" t="s">
        <v>1259</v>
      </c>
      <c r="J354" s="5" t="s">
        <v>29</v>
      </c>
      <c r="K354" s="5">
        <v>30</v>
      </c>
      <c r="L354" s="2"/>
      <c r="M354" s="5">
        <f t="shared" ref="M354:M385" si="37">IF($K354&lt;&gt;"",$K354,$L354)</f>
        <v>30</v>
      </c>
      <c r="N354" s="2" t="s">
        <v>2491</v>
      </c>
      <c r="O354" s="2">
        <v>1</v>
      </c>
      <c r="P354" s="2" t="s">
        <v>27</v>
      </c>
      <c r="Q354" s="2" t="s">
        <v>1550</v>
      </c>
      <c r="R354" s="2" t="s">
        <v>33</v>
      </c>
      <c r="S354" s="2" t="s">
        <v>27</v>
      </c>
      <c r="T354" s="2" t="s">
        <v>34</v>
      </c>
      <c r="U354" s="2" t="s">
        <v>35</v>
      </c>
      <c r="V354" s="2" t="s">
        <v>36</v>
      </c>
      <c r="W354" s="2" t="s">
        <v>37</v>
      </c>
      <c r="X354" s="6" t="s">
        <v>2486</v>
      </c>
      <c r="Y354" s="6" t="s">
        <v>2499</v>
      </c>
      <c r="Z354" t="str">
        <f t="shared" si="31"/>
        <v>97714153051</v>
      </c>
      <c r="AA354" t="str">
        <f t="shared" si="32"/>
        <v>14153051</v>
      </c>
      <c r="AB354" t="str">
        <f t="shared" si="33"/>
        <v>14153051</v>
      </c>
      <c r="AC354" t="str">
        <f t="shared" si="34"/>
        <v>+97714153051</v>
      </c>
      <c r="AD354" t="str">
        <f t="shared" si="35"/>
        <v>Landline</v>
      </c>
      <c r="AE354" t="str">
        <f t="shared" si="36"/>
        <v>Valid</v>
      </c>
    </row>
    <row r="355" spans="1:31" x14ac:dyDescent="0.3">
      <c r="A355" s="2" t="s">
        <v>1551</v>
      </c>
      <c r="B355" s="2" t="s">
        <v>1552</v>
      </c>
      <c r="C355" s="2" t="s">
        <v>1553</v>
      </c>
      <c r="D355" s="2" t="s">
        <v>1479</v>
      </c>
      <c r="E355" s="2" t="s">
        <v>1554</v>
      </c>
      <c r="F355" s="2" t="s">
        <v>1554</v>
      </c>
      <c r="G355" s="5" t="str" cm="1">
        <f t="array" ref="G355">IFERROR(INDEX(City_Lookup!$B$2:$B$297,MATCH(TRUE,ISNUMBER(SEARCH(City_Lookup!$A$2:$A$297,$F355&amp;" "&amp;$E355)),0)),"Not Available")</f>
        <v>Siraha</v>
      </c>
      <c r="H355" s="5" t="str">
        <f>IFERROR(INDEX(City_Lookup!$E$2:$E$66,MATCH($G355,City_Lookup!$D$2:$D$66,0)),"Not Available")</f>
        <v>Madhesh</v>
      </c>
      <c r="I355" s="2" t="s">
        <v>1259</v>
      </c>
      <c r="J355" s="5" t="s">
        <v>29</v>
      </c>
      <c r="K355" s="5">
        <v>30</v>
      </c>
      <c r="L355" s="2"/>
      <c r="M355" s="5">
        <f t="shared" si="37"/>
        <v>30</v>
      </c>
      <c r="N355" s="2" t="s">
        <v>2491</v>
      </c>
      <c r="O355" s="2">
        <v>1</v>
      </c>
      <c r="P355" s="2" t="s">
        <v>27</v>
      </c>
      <c r="Q355" s="2" t="s">
        <v>1555</v>
      </c>
      <c r="R355" s="2" t="s">
        <v>33</v>
      </c>
      <c r="S355" s="2" t="s">
        <v>27</v>
      </c>
      <c r="T355" s="2" t="s">
        <v>34</v>
      </c>
      <c r="U355" s="2" t="s">
        <v>35</v>
      </c>
      <c r="V355" s="2" t="s">
        <v>36</v>
      </c>
      <c r="W355" s="2" t="s">
        <v>37</v>
      </c>
      <c r="X355" s="6" t="s">
        <v>2486</v>
      </c>
      <c r="Y355" s="6" t="s">
        <v>2499</v>
      </c>
      <c r="Z355" t="str">
        <f t="shared" si="31"/>
        <v>97714153051</v>
      </c>
      <c r="AA355" t="str">
        <f t="shared" si="32"/>
        <v>14153051</v>
      </c>
      <c r="AB355" t="str">
        <f t="shared" si="33"/>
        <v>14153051</v>
      </c>
      <c r="AC355" t="str">
        <f t="shared" si="34"/>
        <v>+97714153051</v>
      </c>
      <c r="AD355" t="str">
        <f t="shared" si="35"/>
        <v>Landline</v>
      </c>
      <c r="AE355" t="str">
        <f t="shared" si="36"/>
        <v>Valid</v>
      </c>
    </row>
    <row r="356" spans="1:31" x14ac:dyDescent="0.3">
      <c r="A356" s="2" t="s">
        <v>1556</v>
      </c>
      <c r="B356" s="2" t="s">
        <v>1557</v>
      </c>
      <c r="C356" s="2" t="s">
        <v>1558</v>
      </c>
      <c r="D356" s="2" t="s">
        <v>1473</v>
      </c>
      <c r="E356" s="2" t="s">
        <v>677</v>
      </c>
      <c r="F356" s="2" t="s">
        <v>677</v>
      </c>
      <c r="G356" s="5" t="str" cm="1">
        <f t="array" ref="G356">IFERROR(INDEX(City_Lookup!$B$2:$B$297,MATCH(TRUE,ISNUMBER(SEARCH(City_Lookup!$A$2:$A$297,$F356&amp;" "&amp;$E356)),0)),"Not Available")</f>
        <v>Siraha</v>
      </c>
      <c r="H356" s="5" t="str">
        <f>IFERROR(INDEX(City_Lookup!$E$2:$E$66,MATCH($G356,City_Lookup!$D$2:$D$66,0)),"Not Available")</f>
        <v>Madhesh</v>
      </c>
      <c r="I356" s="2" t="s">
        <v>1259</v>
      </c>
      <c r="J356" s="5" t="s">
        <v>29</v>
      </c>
      <c r="K356" s="5">
        <v>30</v>
      </c>
      <c r="L356" s="2"/>
      <c r="M356" s="5">
        <f t="shared" si="37"/>
        <v>30</v>
      </c>
      <c r="N356" s="2" t="s">
        <v>2491</v>
      </c>
      <c r="O356" s="2">
        <v>1</v>
      </c>
      <c r="P356" s="2" t="s">
        <v>27</v>
      </c>
      <c r="Q356" s="2" t="s">
        <v>1559</v>
      </c>
      <c r="R356" s="2" t="s">
        <v>33</v>
      </c>
      <c r="S356" s="2" t="s">
        <v>27</v>
      </c>
      <c r="T356" s="2" t="s">
        <v>34</v>
      </c>
      <c r="U356" s="2" t="s">
        <v>35</v>
      </c>
      <c r="V356" s="2" t="s">
        <v>36</v>
      </c>
      <c r="W356" s="2" t="s">
        <v>37</v>
      </c>
      <c r="X356" s="6" t="s">
        <v>2486</v>
      </c>
      <c r="Y356" s="6" t="s">
        <v>2499</v>
      </c>
      <c r="Z356" t="str">
        <f t="shared" si="31"/>
        <v>97714153051</v>
      </c>
      <c r="AA356" t="str">
        <f t="shared" si="32"/>
        <v>14153051</v>
      </c>
      <c r="AB356" t="str">
        <f t="shared" si="33"/>
        <v>14153051</v>
      </c>
      <c r="AC356" t="str">
        <f t="shared" si="34"/>
        <v>+97714153051</v>
      </c>
      <c r="AD356" t="str">
        <f t="shared" si="35"/>
        <v>Landline</v>
      </c>
      <c r="AE356" t="str">
        <f t="shared" si="36"/>
        <v>Valid</v>
      </c>
    </row>
    <row r="357" spans="1:31" x14ac:dyDescent="0.3">
      <c r="A357" s="2" t="s">
        <v>1560</v>
      </c>
      <c r="B357" s="2" t="s">
        <v>1561</v>
      </c>
      <c r="C357" s="2" t="s">
        <v>1562</v>
      </c>
      <c r="D357" s="2" t="s">
        <v>1473</v>
      </c>
      <c r="E357" s="2" t="s">
        <v>1563</v>
      </c>
      <c r="F357" s="2" t="s">
        <v>1563</v>
      </c>
      <c r="G357" s="5" t="str" cm="1">
        <f t="array" ref="G357">IFERROR(INDEX(City_Lookup!$B$2:$B$297,MATCH(TRUE,ISNUMBER(SEARCH(City_Lookup!$A$2:$A$297,$F357&amp;" "&amp;$E357)),0)),"Not Available")</f>
        <v>Dhanusha</v>
      </c>
      <c r="H357" s="5" t="str">
        <f>IFERROR(INDEX(City_Lookup!$E$2:$E$66,MATCH($G357,City_Lookup!$D$2:$D$66,0)),"Not Available")</f>
        <v>Madhesh</v>
      </c>
      <c r="I357" s="2" t="s">
        <v>1259</v>
      </c>
      <c r="J357" s="5" t="s">
        <v>29</v>
      </c>
      <c r="K357" s="5">
        <v>30</v>
      </c>
      <c r="L357" s="2"/>
      <c r="M357" s="5">
        <f t="shared" si="37"/>
        <v>30</v>
      </c>
      <c r="N357" s="2" t="s">
        <v>2491</v>
      </c>
      <c r="O357" s="2">
        <v>1</v>
      </c>
      <c r="P357" s="2" t="s">
        <v>27</v>
      </c>
      <c r="Q357" s="2" t="s">
        <v>1564</v>
      </c>
      <c r="R357" s="2" t="s">
        <v>33</v>
      </c>
      <c r="S357" s="2" t="s">
        <v>27</v>
      </c>
      <c r="T357" s="2" t="s">
        <v>34</v>
      </c>
      <c r="U357" s="2" t="s">
        <v>35</v>
      </c>
      <c r="V357" s="2" t="s">
        <v>36</v>
      </c>
      <c r="W357" s="2" t="s">
        <v>37</v>
      </c>
      <c r="X357" s="6" t="s">
        <v>2486</v>
      </c>
      <c r="Y357" s="6" t="s">
        <v>2499</v>
      </c>
      <c r="Z357" t="str">
        <f t="shared" si="31"/>
        <v>97714153051</v>
      </c>
      <c r="AA357" t="str">
        <f t="shared" si="32"/>
        <v>14153051</v>
      </c>
      <c r="AB357" t="str">
        <f t="shared" si="33"/>
        <v>14153051</v>
      </c>
      <c r="AC357" t="str">
        <f t="shared" si="34"/>
        <v>+97714153051</v>
      </c>
      <c r="AD357" t="str">
        <f t="shared" si="35"/>
        <v>Landline</v>
      </c>
      <c r="AE357" t="str">
        <f t="shared" si="36"/>
        <v>Valid</v>
      </c>
    </row>
    <row r="358" spans="1:31" x14ac:dyDescent="0.3">
      <c r="A358" s="2" t="s">
        <v>1565</v>
      </c>
      <c r="B358" s="2" t="s">
        <v>1566</v>
      </c>
      <c r="C358" s="2" t="s">
        <v>1567</v>
      </c>
      <c r="D358" s="2" t="s">
        <v>1479</v>
      </c>
      <c r="E358" s="2" t="s">
        <v>1568</v>
      </c>
      <c r="F358" s="2" t="s">
        <v>1568</v>
      </c>
      <c r="G358" s="5" t="str" cm="1">
        <f t="array" ref="G358">IFERROR(INDEX(City_Lookup!$B$2:$B$297,MATCH(TRUE,ISNUMBER(SEARCH(City_Lookup!$A$2:$A$297,$F358&amp;" "&amp;$E358)),0)),"Not Available")</f>
        <v>Dhanusha</v>
      </c>
      <c r="H358" s="5" t="str">
        <f>IFERROR(INDEX(City_Lookup!$E$2:$E$66,MATCH($G358,City_Lookup!$D$2:$D$66,0)),"Not Available")</f>
        <v>Madhesh</v>
      </c>
      <c r="I358" s="2" t="s">
        <v>1259</v>
      </c>
      <c r="J358" s="5" t="s">
        <v>29</v>
      </c>
      <c r="K358" s="5">
        <v>30</v>
      </c>
      <c r="L358" s="2"/>
      <c r="M358" s="5">
        <f t="shared" si="37"/>
        <v>30</v>
      </c>
      <c r="N358" s="2" t="s">
        <v>2491</v>
      </c>
      <c r="O358" s="2">
        <v>1</v>
      </c>
      <c r="P358" s="2" t="s">
        <v>27</v>
      </c>
      <c r="Q358" s="2" t="s">
        <v>1569</v>
      </c>
      <c r="R358" s="2" t="s">
        <v>33</v>
      </c>
      <c r="S358" s="2" t="s">
        <v>27</v>
      </c>
      <c r="T358" s="2" t="s">
        <v>34</v>
      </c>
      <c r="U358" s="2" t="s">
        <v>35</v>
      </c>
      <c r="V358" s="2" t="s">
        <v>36</v>
      </c>
      <c r="W358" s="2" t="s">
        <v>37</v>
      </c>
      <c r="X358" s="6" t="s">
        <v>2486</v>
      </c>
      <c r="Y358" s="6" t="s">
        <v>2499</v>
      </c>
      <c r="Z358" t="str">
        <f t="shared" si="31"/>
        <v>97714153051</v>
      </c>
      <c r="AA358" t="str">
        <f t="shared" si="32"/>
        <v>14153051</v>
      </c>
      <c r="AB358" t="str">
        <f t="shared" si="33"/>
        <v>14153051</v>
      </c>
      <c r="AC358" t="str">
        <f t="shared" si="34"/>
        <v>+97714153051</v>
      </c>
      <c r="AD358" t="str">
        <f t="shared" si="35"/>
        <v>Landline</v>
      </c>
      <c r="AE358" t="str">
        <f t="shared" si="36"/>
        <v>Valid</v>
      </c>
    </row>
    <row r="359" spans="1:31" x14ac:dyDescent="0.3">
      <c r="A359" s="2" t="s">
        <v>1570</v>
      </c>
      <c r="B359" s="2" t="s">
        <v>1571</v>
      </c>
      <c r="C359" s="2" t="s">
        <v>1572</v>
      </c>
      <c r="D359" s="2" t="s">
        <v>1479</v>
      </c>
      <c r="E359" s="2" t="s">
        <v>1573</v>
      </c>
      <c r="F359" s="2" t="s">
        <v>1573</v>
      </c>
      <c r="G359" s="5" t="str" cm="1">
        <f t="array" ref="G359">IFERROR(INDEX(City_Lookup!$B$2:$B$297,MATCH(TRUE,ISNUMBER(SEARCH(City_Lookup!$A$2:$A$297,$F359&amp;" "&amp;$E359)),0)),"Not Available")</f>
        <v>Kailali</v>
      </c>
      <c r="H359" s="5" t="str">
        <f>IFERROR(INDEX(City_Lookup!$E$2:$E$66,MATCH($G359,City_Lookup!$D$2:$D$66,0)),"Not Available")</f>
        <v>Sudurpashchim</v>
      </c>
      <c r="I359" s="2" t="s">
        <v>1259</v>
      </c>
      <c r="J359" s="5" t="s">
        <v>29</v>
      </c>
      <c r="K359" s="5">
        <v>30</v>
      </c>
      <c r="L359" s="2"/>
      <c r="M359" s="5">
        <f t="shared" si="37"/>
        <v>30</v>
      </c>
      <c r="N359" s="2" t="s">
        <v>2491</v>
      </c>
      <c r="O359" s="2">
        <v>1</v>
      </c>
      <c r="P359" s="2" t="s">
        <v>27</v>
      </c>
      <c r="Q359" s="2" t="s">
        <v>1574</v>
      </c>
      <c r="R359" s="2" t="s">
        <v>33</v>
      </c>
      <c r="S359" s="2" t="s">
        <v>27</v>
      </c>
      <c r="T359" s="2" t="s">
        <v>34</v>
      </c>
      <c r="U359" s="2" t="s">
        <v>35</v>
      </c>
      <c r="V359" s="2" t="s">
        <v>36</v>
      </c>
      <c r="W359" s="2" t="s">
        <v>37</v>
      </c>
      <c r="X359" s="6" t="s">
        <v>2486</v>
      </c>
      <c r="Y359" s="6" t="s">
        <v>2499</v>
      </c>
      <c r="Z359" t="str">
        <f t="shared" si="31"/>
        <v>97714153051</v>
      </c>
      <c r="AA359" t="str">
        <f t="shared" si="32"/>
        <v>14153051</v>
      </c>
      <c r="AB359" t="str">
        <f t="shared" si="33"/>
        <v>14153051</v>
      </c>
      <c r="AC359" t="str">
        <f t="shared" si="34"/>
        <v>+97714153051</v>
      </c>
      <c r="AD359" t="str">
        <f t="shared" si="35"/>
        <v>Landline</v>
      </c>
      <c r="AE359" t="str">
        <f t="shared" si="36"/>
        <v>Valid</v>
      </c>
    </row>
    <row r="360" spans="1:31" x14ac:dyDescent="0.3">
      <c r="A360" s="2" t="s">
        <v>1575</v>
      </c>
      <c r="B360" s="2" t="s">
        <v>1576</v>
      </c>
      <c r="C360" s="2" t="s">
        <v>1577</v>
      </c>
      <c r="D360" s="2" t="s">
        <v>1479</v>
      </c>
      <c r="E360" s="2" t="s">
        <v>1578</v>
      </c>
      <c r="F360" s="2" t="s">
        <v>1578</v>
      </c>
      <c r="G360" s="5" t="str" cm="1">
        <f t="array" ref="G360">IFERROR(INDEX(City_Lookup!$B$2:$B$297,MATCH(TRUE,ISNUMBER(SEARCH(City_Lookup!$A$2:$A$297,$F360&amp;" "&amp;$E360)),0)),"Not Available")</f>
        <v>Kailali</v>
      </c>
      <c r="H360" s="5" t="str">
        <f>IFERROR(INDEX(City_Lookup!$E$2:$E$66,MATCH($G360,City_Lookup!$D$2:$D$66,0)),"Not Available")</f>
        <v>Sudurpashchim</v>
      </c>
      <c r="I360" s="2" t="s">
        <v>1259</v>
      </c>
      <c r="J360" s="5" t="s">
        <v>29</v>
      </c>
      <c r="K360" s="5">
        <v>30</v>
      </c>
      <c r="L360" s="2"/>
      <c r="M360" s="5">
        <f t="shared" si="37"/>
        <v>30</v>
      </c>
      <c r="N360" s="2" t="s">
        <v>2491</v>
      </c>
      <c r="O360" s="2">
        <v>1</v>
      </c>
      <c r="P360" s="2" t="s">
        <v>27</v>
      </c>
      <c r="Q360" s="2" t="s">
        <v>1579</v>
      </c>
      <c r="R360" s="2" t="s">
        <v>33</v>
      </c>
      <c r="S360" s="2" t="s">
        <v>27</v>
      </c>
      <c r="T360" s="2" t="s">
        <v>34</v>
      </c>
      <c r="U360" s="2" t="s">
        <v>35</v>
      </c>
      <c r="V360" s="2" t="s">
        <v>36</v>
      </c>
      <c r="W360" s="2" t="s">
        <v>37</v>
      </c>
      <c r="X360" s="6" t="s">
        <v>2486</v>
      </c>
      <c r="Y360" s="6" t="s">
        <v>2499</v>
      </c>
      <c r="Z360" t="str">
        <f t="shared" si="31"/>
        <v>97714153051</v>
      </c>
      <c r="AA360" t="str">
        <f t="shared" si="32"/>
        <v>14153051</v>
      </c>
      <c r="AB360" t="str">
        <f t="shared" si="33"/>
        <v>14153051</v>
      </c>
      <c r="AC360" t="str">
        <f t="shared" si="34"/>
        <v>+97714153051</v>
      </c>
      <c r="AD360" t="str">
        <f t="shared" si="35"/>
        <v>Landline</v>
      </c>
      <c r="AE360" t="str">
        <f t="shared" si="36"/>
        <v>Valid</v>
      </c>
    </row>
    <row r="361" spans="1:31" x14ac:dyDescent="0.3">
      <c r="A361" s="2" t="s">
        <v>1580</v>
      </c>
      <c r="B361" s="2" t="s">
        <v>1581</v>
      </c>
      <c r="C361" s="2" t="s">
        <v>1582</v>
      </c>
      <c r="D361" s="2" t="s">
        <v>1473</v>
      </c>
      <c r="E361" s="2" t="s">
        <v>1583</v>
      </c>
      <c r="F361" s="2" t="s">
        <v>1583</v>
      </c>
      <c r="G361" s="5" t="str" cm="1">
        <f t="array" ref="G361">IFERROR(INDEX(City_Lookup!$B$2:$B$297,MATCH(TRUE,ISNUMBER(SEARCH(City_Lookup!$A$2:$A$297,$F361&amp;" "&amp;$E361)),0)),"Not Available")</f>
        <v>Kailali</v>
      </c>
      <c r="H361" s="5" t="str">
        <f>IFERROR(INDEX(City_Lookup!$E$2:$E$66,MATCH($G361,City_Lookup!$D$2:$D$66,0)),"Not Available")</f>
        <v>Sudurpashchim</v>
      </c>
      <c r="I361" s="2" t="s">
        <v>1259</v>
      </c>
      <c r="J361" s="5" t="s">
        <v>29</v>
      </c>
      <c r="K361" s="5">
        <v>30</v>
      </c>
      <c r="L361" s="2"/>
      <c r="M361" s="5">
        <f t="shared" si="37"/>
        <v>30</v>
      </c>
      <c r="N361" s="2" t="s">
        <v>2491</v>
      </c>
      <c r="O361" s="2">
        <v>1</v>
      </c>
      <c r="P361" s="2" t="s">
        <v>27</v>
      </c>
      <c r="Q361" s="2" t="s">
        <v>1584</v>
      </c>
      <c r="R361" s="2" t="s">
        <v>33</v>
      </c>
      <c r="S361" s="2" t="s">
        <v>27</v>
      </c>
      <c r="T361" s="2" t="s">
        <v>34</v>
      </c>
      <c r="U361" s="2" t="s">
        <v>35</v>
      </c>
      <c r="V361" s="2" t="s">
        <v>36</v>
      </c>
      <c r="W361" s="2" t="s">
        <v>37</v>
      </c>
      <c r="X361" s="6" t="s">
        <v>2486</v>
      </c>
      <c r="Y361" s="6" t="s">
        <v>2499</v>
      </c>
      <c r="Z361" t="str">
        <f t="shared" si="31"/>
        <v>97714153051</v>
      </c>
      <c r="AA361" t="str">
        <f t="shared" si="32"/>
        <v>14153051</v>
      </c>
      <c r="AB361" t="str">
        <f t="shared" si="33"/>
        <v>14153051</v>
      </c>
      <c r="AC361" t="str">
        <f t="shared" si="34"/>
        <v>+97714153051</v>
      </c>
      <c r="AD361" t="str">
        <f t="shared" si="35"/>
        <v>Landline</v>
      </c>
      <c r="AE361" t="str">
        <f t="shared" si="36"/>
        <v>Valid</v>
      </c>
    </row>
    <row r="362" spans="1:31" x14ac:dyDescent="0.3">
      <c r="A362" s="2" t="s">
        <v>1585</v>
      </c>
      <c r="B362" s="2" t="s">
        <v>1586</v>
      </c>
      <c r="C362" s="2" t="s">
        <v>1587</v>
      </c>
      <c r="D362" s="2" t="s">
        <v>1479</v>
      </c>
      <c r="E362" s="2" t="s">
        <v>1588</v>
      </c>
      <c r="F362" s="2" t="s">
        <v>1588</v>
      </c>
      <c r="G362" s="5" t="str" cm="1">
        <f t="array" ref="G362">IFERROR(INDEX(City_Lookup!$B$2:$B$297,MATCH(TRUE,ISNUMBER(SEARCH(City_Lookup!$A$2:$A$297,$F362&amp;" "&amp;$E362)),0)),"Not Available")</f>
        <v>Kailali</v>
      </c>
      <c r="H362" s="5" t="str">
        <f>IFERROR(INDEX(City_Lookup!$E$2:$E$66,MATCH($G362,City_Lookup!$D$2:$D$66,0)),"Not Available")</f>
        <v>Sudurpashchim</v>
      </c>
      <c r="I362" s="2" t="s">
        <v>1259</v>
      </c>
      <c r="J362" s="5" t="s">
        <v>29</v>
      </c>
      <c r="K362" s="5">
        <v>30</v>
      </c>
      <c r="L362" s="2"/>
      <c r="M362" s="5">
        <f t="shared" si="37"/>
        <v>30</v>
      </c>
      <c r="N362" s="2" t="s">
        <v>2491</v>
      </c>
      <c r="O362" s="2">
        <v>1</v>
      </c>
      <c r="P362" s="2" t="s">
        <v>27</v>
      </c>
      <c r="Q362" s="2" t="s">
        <v>1589</v>
      </c>
      <c r="R362" s="2" t="s">
        <v>33</v>
      </c>
      <c r="S362" s="2" t="s">
        <v>27</v>
      </c>
      <c r="T362" s="2" t="s">
        <v>34</v>
      </c>
      <c r="U362" s="2" t="s">
        <v>35</v>
      </c>
      <c r="V362" s="2" t="s">
        <v>36</v>
      </c>
      <c r="W362" s="2" t="s">
        <v>37</v>
      </c>
      <c r="X362" s="6" t="s">
        <v>2486</v>
      </c>
      <c r="Y362" s="6" t="s">
        <v>2499</v>
      </c>
      <c r="Z362" t="str">
        <f t="shared" si="31"/>
        <v>97714153051</v>
      </c>
      <c r="AA362" t="str">
        <f t="shared" si="32"/>
        <v>14153051</v>
      </c>
      <c r="AB362" t="str">
        <f t="shared" si="33"/>
        <v>14153051</v>
      </c>
      <c r="AC362" t="str">
        <f t="shared" si="34"/>
        <v>+97714153051</v>
      </c>
      <c r="AD362" t="str">
        <f t="shared" si="35"/>
        <v>Landline</v>
      </c>
      <c r="AE362" t="str">
        <f t="shared" si="36"/>
        <v>Valid</v>
      </c>
    </row>
    <row r="363" spans="1:31" x14ac:dyDescent="0.3">
      <c r="A363" s="2" t="s">
        <v>1590</v>
      </c>
      <c r="B363" s="2" t="s">
        <v>1591</v>
      </c>
      <c r="C363" s="2" t="s">
        <v>1592</v>
      </c>
      <c r="D363" s="2" t="s">
        <v>1473</v>
      </c>
      <c r="E363" s="2" t="s">
        <v>1593</v>
      </c>
      <c r="F363" s="2" t="s">
        <v>1593</v>
      </c>
      <c r="G363" s="5" t="str" cm="1">
        <f t="array" ref="G363">IFERROR(INDEX(City_Lookup!$B$2:$B$297,MATCH(TRUE,ISNUMBER(SEARCH(City_Lookup!$A$2:$A$297,$F363&amp;" "&amp;$E363)),0)),"Not Available")</f>
        <v>Kailali</v>
      </c>
      <c r="H363" s="5" t="str">
        <f>IFERROR(INDEX(City_Lookup!$E$2:$E$66,MATCH($G363,City_Lookup!$D$2:$D$66,0)),"Not Available")</f>
        <v>Sudurpashchim</v>
      </c>
      <c r="I363" s="2" t="s">
        <v>1259</v>
      </c>
      <c r="J363" s="5" t="s">
        <v>29</v>
      </c>
      <c r="K363" s="5">
        <v>30</v>
      </c>
      <c r="L363" s="2"/>
      <c r="M363" s="5">
        <f t="shared" si="37"/>
        <v>30</v>
      </c>
      <c r="N363" s="2" t="s">
        <v>2491</v>
      </c>
      <c r="O363" s="2">
        <v>1</v>
      </c>
      <c r="P363" s="2" t="s">
        <v>27</v>
      </c>
      <c r="Q363" s="2" t="s">
        <v>1594</v>
      </c>
      <c r="R363" s="2" t="s">
        <v>33</v>
      </c>
      <c r="S363" s="2" t="s">
        <v>27</v>
      </c>
      <c r="T363" s="2" t="s">
        <v>34</v>
      </c>
      <c r="U363" s="2" t="s">
        <v>35</v>
      </c>
      <c r="V363" s="2" t="s">
        <v>36</v>
      </c>
      <c r="W363" s="2" t="s">
        <v>37</v>
      </c>
      <c r="X363" s="6" t="s">
        <v>2486</v>
      </c>
      <c r="Y363" s="6" t="s">
        <v>2499</v>
      </c>
      <c r="Z363" t="str">
        <f t="shared" si="31"/>
        <v>97714153051</v>
      </c>
      <c r="AA363" t="str">
        <f t="shared" si="32"/>
        <v>14153051</v>
      </c>
      <c r="AB363" t="str">
        <f t="shared" si="33"/>
        <v>14153051</v>
      </c>
      <c r="AC363" t="str">
        <f t="shared" si="34"/>
        <v>+97714153051</v>
      </c>
      <c r="AD363" t="str">
        <f t="shared" si="35"/>
        <v>Landline</v>
      </c>
      <c r="AE363" t="str">
        <f t="shared" si="36"/>
        <v>Valid</v>
      </c>
    </row>
    <row r="364" spans="1:31" x14ac:dyDescent="0.3">
      <c r="A364" s="2" t="s">
        <v>1595</v>
      </c>
      <c r="B364" s="2" t="s">
        <v>1596</v>
      </c>
      <c r="C364" s="2" t="s">
        <v>1597</v>
      </c>
      <c r="D364" s="2" t="s">
        <v>1479</v>
      </c>
      <c r="E364" s="2" t="s">
        <v>1598</v>
      </c>
      <c r="F364" s="2" t="s">
        <v>1598</v>
      </c>
      <c r="G364" s="5" t="str" cm="1">
        <f t="array" ref="G364">IFERROR(INDEX(City_Lookup!$B$2:$B$297,MATCH(TRUE,ISNUMBER(SEARCH(City_Lookup!$A$2:$A$297,$F364&amp;" "&amp;$E364)),0)),"Not Available")</f>
        <v>Kailali</v>
      </c>
      <c r="H364" s="5" t="str">
        <f>IFERROR(INDEX(City_Lookup!$E$2:$E$66,MATCH($G364,City_Lookup!$D$2:$D$66,0)),"Not Available")</f>
        <v>Sudurpashchim</v>
      </c>
      <c r="I364" s="2" t="s">
        <v>1259</v>
      </c>
      <c r="J364" s="5" t="s">
        <v>29</v>
      </c>
      <c r="K364" s="5">
        <v>30</v>
      </c>
      <c r="L364" s="2"/>
      <c r="M364" s="5">
        <f t="shared" si="37"/>
        <v>30</v>
      </c>
      <c r="N364" s="2" t="s">
        <v>2491</v>
      </c>
      <c r="O364" s="2">
        <v>1</v>
      </c>
      <c r="P364" s="2" t="s">
        <v>27</v>
      </c>
      <c r="Q364" s="2" t="s">
        <v>1599</v>
      </c>
      <c r="R364" s="2" t="s">
        <v>33</v>
      </c>
      <c r="S364" s="2" t="s">
        <v>27</v>
      </c>
      <c r="T364" s="2" t="s">
        <v>34</v>
      </c>
      <c r="U364" s="2" t="s">
        <v>35</v>
      </c>
      <c r="V364" s="2" t="s">
        <v>36</v>
      </c>
      <c r="W364" s="2" t="s">
        <v>37</v>
      </c>
      <c r="X364" s="6" t="s">
        <v>2486</v>
      </c>
      <c r="Y364" s="6" t="s">
        <v>2499</v>
      </c>
      <c r="Z364" t="str">
        <f t="shared" si="31"/>
        <v>97714153051</v>
      </c>
      <c r="AA364" t="str">
        <f t="shared" si="32"/>
        <v>14153051</v>
      </c>
      <c r="AB364" t="str">
        <f t="shared" si="33"/>
        <v>14153051</v>
      </c>
      <c r="AC364" t="str">
        <f t="shared" si="34"/>
        <v>+97714153051</v>
      </c>
      <c r="AD364" t="str">
        <f t="shared" si="35"/>
        <v>Landline</v>
      </c>
      <c r="AE364" t="str">
        <f t="shared" si="36"/>
        <v>Valid</v>
      </c>
    </row>
    <row r="365" spans="1:31" x14ac:dyDescent="0.3">
      <c r="A365" s="2" t="s">
        <v>1600</v>
      </c>
      <c r="B365" s="2" t="s">
        <v>1601</v>
      </c>
      <c r="C365" s="2" t="s">
        <v>1602</v>
      </c>
      <c r="D365" s="2" t="s">
        <v>1479</v>
      </c>
      <c r="E365" s="2" t="s">
        <v>1603</v>
      </c>
      <c r="F365" s="2" t="s">
        <v>1603</v>
      </c>
      <c r="G365" s="5" t="str" cm="1">
        <f t="array" ref="G365">IFERROR(INDEX(City_Lookup!$B$2:$B$297,MATCH(TRUE,ISNUMBER(SEARCH(City_Lookup!$A$2:$A$297,$F365&amp;" "&amp;$E365)),0)),"Not Available")</f>
        <v>Kanchanpur</v>
      </c>
      <c r="H365" s="5" t="str">
        <f>IFERROR(INDEX(City_Lookup!$E$2:$E$66,MATCH($G365,City_Lookup!$D$2:$D$66,0)),"Not Available")</f>
        <v>Sudurpashchim</v>
      </c>
      <c r="I365" s="2" t="s">
        <v>1259</v>
      </c>
      <c r="J365" s="5" t="s">
        <v>29</v>
      </c>
      <c r="K365" s="5">
        <v>30</v>
      </c>
      <c r="L365" s="2"/>
      <c r="M365" s="5">
        <f t="shared" si="37"/>
        <v>30</v>
      </c>
      <c r="N365" s="2" t="s">
        <v>2492</v>
      </c>
      <c r="O365" s="2">
        <v>1</v>
      </c>
      <c r="P365" s="2" t="s">
        <v>27</v>
      </c>
      <c r="Q365" s="2" t="s">
        <v>1604</v>
      </c>
      <c r="R365" s="2" t="s">
        <v>33</v>
      </c>
      <c r="S365" s="2" t="s">
        <v>27</v>
      </c>
      <c r="T365" s="2" t="s">
        <v>34</v>
      </c>
      <c r="U365" s="2" t="s">
        <v>35</v>
      </c>
      <c r="V365" s="2" t="s">
        <v>36</v>
      </c>
      <c r="W365" s="2" t="s">
        <v>37</v>
      </c>
      <c r="X365" s="6" t="s">
        <v>2486</v>
      </c>
      <c r="Y365" s="6" t="s">
        <v>2499</v>
      </c>
      <c r="Z365" t="str">
        <f t="shared" si="31"/>
        <v>97714153051</v>
      </c>
      <c r="AA365" t="str">
        <f t="shared" si="32"/>
        <v>14153051</v>
      </c>
      <c r="AB365" t="str">
        <f t="shared" si="33"/>
        <v>14153051</v>
      </c>
      <c r="AC365" t="str">
        <f t="shared" si="34"/>
        <v>+97714153051</v>
      </c>
      <c r="AD365" t="str">
        <f t="shared" si="35"/>
        <v>Landline</v>
      </c>
      <c r="AE365" t="str">
        <f t="shared" si="36"/>
        <v>Valid</v>
      </c>
    </row>
    <row r="366" spans="1:31" x14ac:dyDescent="0.3">
      <c r="A366" s="2" t="s">
        <v>1605</v>
      </c>
      <c r="B366" s="2" t="s">
        <v>1606</v>
      </c>
      <c r="C366" s="2" t="s">
        <v>1607</v>
      </c>
      <c r="D366" s="2" t="s">
        <v>1479</v>
      </c>
      <c r="E366" s="2" t="s">
        <v>1608</v>
      </c>
      <c r="F366" s="2" t="s">
        <v>1608</v>
      </c>
      <c r="G366" s="5" t="str" cm="1">
        <f t="array" ref="G366">IFERROR(INDEX(City_Lookup!$B$2:$B$297,MATCH(TRUE,ISNUMBER(SEARCH(City_Lookup!$A$2:$A$297,$F366&amp;" "&amp;$E366)),0)),"Not Available")</f>
        <v>Kailali</v>
      </c>
      <c r="H366" s="5" t="str">
        <f>IFERROR(INDEX(City_Lookup!$E$2:$E$66,MATCH($G366,City_Lookup!$D$2:$D$66,0)),"Not Available")</f>
        <v>Sudurpashchim</v>
      </c>
      <c r="I366" s="2" t="s">
        <v>1259</v>
      </c>
      <c r="J366" s="5" t="s">
        <v>29</v>
      </c>
      <c r="K366" s="5">
        <v>30</v>
      </c>
      <c r="L366" s="2"/>
      <c r="M366" s="5">
        <f t="shared" si="37"/>
        <v>30</v>
      </c>
      <c r="N366" s="2" t="s">
        <v>2491</v>
      </c>
      <c r="O366" s="2">
        <v>1</v>
      </c>
      <c r="P366" s="2" t="s">
        <v>27</v>
      </c>
      <c r="Q366" s="2" t="s">
        <v>1609</v>
      </c>
      <c r="R366" s="2" t="s">
        <v>33</v>
      </c>
      <c r="S366" s="2" t="s">
        <v>27</v>
      </c>
      <c r="T366" s="2" t="s">
        <v>34</v>
      </c>
      <c r="U366" s="2" t="s">
        <v>35</v>
      </c>
      <c r="V366" s="2" t="s">
        <v>36</v>
      </c>
      <c r="W366" s="2" t="s">
        <v>37</v>
      </c>
      <c r="X366" s="6" t="s">
        <v>2486</v>
      </c>
      <c r="Y366" s="6" t="s">
        <v>2499</v>
      </c>
      <c r="Z366" t="str">
        <f t="shared" si="31"/>
        <v>97714153051</v>
      </c>
      <c r="AA366" t="str">
        <f t="shared" si="32"/>
        <v>14153051</v>
      </c>
      <c r="AB366" t="str">
        <f t="shared" si="33"/>
        <v>14153051</v>
      </c>
      <c r="AC366" t="str">
        <f t="shared" si="34"/>
        <v>+97714153051</v>
      </c>
      <c r="AD366" t="str">
        <f t="shared" si="35"/>
        <v>Landline</v>
      </c>
      <c r="AE366" t="str">
        <f t="shared" si="36"/>
        <v>Valid</v>
      </c>
    </row>
    <row r="367" spans="1:31" x14ac:dyDescent="0.3">
      <c r="A367" s="2" t="s">
        <v>1610</v>
      </c>
      <c r="B367" s="2" t="s">
        <v>1611</v>
      </c>
      <c r="C367" s="2" t="s">
        <v>1612</v>
      </c>
      <c r="D367" s="2" t="s">
        <v>1479</v>
      </c>
      <c r="E367" s="2" t="s">
        <v>1613</v>
      </c>
      <c r="F367" s="2" t="s">
        <v>1613</v>
      </c>
      <c r="G367" s="5" t="str" cm="1">
        <f t="array" ref="G367">IFERROR(INDEX(City_Lookup!$B$2:$B$297,MATCH(TRUE,ISNUMBER(SEARCH(City_Lookup!$A$2:$A$297,$F367&amp;" "&amp;$E367)),0)),"Not Available")</f>
        <v>Surkhet</v>
      </c>
      <c r="H367" s="5" t="str">
        <f>IFERROR(INDEX(City_Lookup!$E$2:$E$66,MATCH($G367,City_Lookup!$D$2:$D$66,0)),"Not Available")</f>
        <v>Karnali</v>
      </c>
      <c r="I367" s="2" t="s">
        <v>1259</v>
      </c>
      <c r="J367" s="5" t="s">
        <v>29</v>
      </c>
      <c r="K367" s="5">
        <v>30</v>
      </c>
      <c r="L367" s="2"/>
      <c r="M367" s="5">
        <f t="shared" si="37"/>
        <v>30</v>
      </c>
      <c r="N367" s="2" t="s">
        <v>2491</v>
      </c>
      <c r="O367" s="2">
        <v>1</v>
      </c>
      <c r="P367" s="2" t="s">
        <v>27</v>
      </c>
      <c r="Q367" s="2" t="s">
        <v>1615</v>
      </c>
      <c r="R367" s="2" t="s">
        <v>33</v>
      </c>
      <c r="S367" s="2" t="s">
        <v>27</v>
      </c>
      <c r="T367" s="2" t="s">
        <v>34</v>
      </c>
      <c r="U367" s="2" t="s">
        <v>35</v>
      </c>
      <c r="V367" s="2" t="s">
        <v>36</v>
      </c>
      <c r="W367" s="2" t="s">
        <v>37</v>
      </c>
      <c r="X367" s="6" t="s">
        <v>2486</v>
      </c>
      <c r="Y367" s="6" t="s">
        <v>2499</v>
      </c>
      <c r="Z367" t="str">
        <f t="shared" si="31"/>
        <v>97714153051</v>
      </c>
      <c r="AA367" t="str">
        <f t="shared" si="32"/>
        <v>14153051</v>
      </c>
      <c r="AB367" t="str">
        <f t="shared" si="33"/>
        <v>14153051</v>
      </c>
      <c r="AC367" t="str">
        <f t="shared" si="34"/>
        <v>+97714153051</v>
      </c>
      <c r="AD367" t="str">
        <f t="shared" si="35"/>
        <v>Landline</v>
      </c>
      <c r="AE367" t="str">
        <f t="shared" si="36"/>
        <v>Valid</v>
      </c>
    </row>
    <row r="368" spans="1:31" x14ac:dyDescent="0.3">
      <c r="A368" s="2" t="s">
        <v>1616</v>
      </c>
      <c r="B368" s="2" t="s">
        <v>1617</v>
      </c>
      <c r="C368" s="2" t="s">
        <v>1618</v>
      </c>
      <c r="D368" s="2" t="s">
        <v>1479</v>
      </c>
      <c r="E368" s="2" t="s">
        <v>1619</v>
      </c>
      <c r="F368" s="2" t="s">
        <v>1619</v>
      </c>
      <c r="G368" s="5" t="str" cm="1">
        <f t="array" ref="G368">IFERROR(INDEX(City_Lookup!$B$2:$B$297,MATCH(TRUE,ISNUMBER(SEARCH(City_Lookup!$A$2:$A$297,$F368&amp;" "&amp;$E368)),0)),"Not Available")</f>
        <v>Udayapur</v>
      </c>
      <c r="H368" s="5" t="str">
        <f>IFERROR(INDEX(City_Lookup!$E$2:$E$66,MATCH($G368,City_Lookup!$D$2:$D$66,0)),"Not Available")</f>
        <v>Koshi</v>
      </c>
      <c r="I368" s="2" t="s">
        <v>1259</v>
      </c>
      <c r="J368" s="5" t="s">
        <v>29</v>
      </c>
      <c r="K368" s="5">
        <v>30</v>
      </c>
      <c r="L368" s="2"/>
      <c r="M368" s="5">
        <f t="shared" si="37"/>
        <v>30</v>
      </c>
      <c r="N368" s="2" t="s">
        <v>2491</v>
      </c>
      <c r="O368" s="2">
        <v>1</v>
      </c>
      <c r="P368" s="2" t="s">
        <v>27</v>
      </c>
      <c r="Q368" s="2" t="s">
        <v>1620</v>
      </c>
      <c r="R368" s="2" t="s">
        <v>33</v>
      </c>
      <c r="S368" s="2" t="s">
        <v>27</v>
      </c>
      <c r="T368" s="2" t="s">
        <v>34</v>
      </c>
      <c r="U368" s="2" t="s">
        <v>35</v>
      </c>
      <c r="V368" s="2" t="s">
        <v>36</v>
      </c>
      <c r="W368" s="2" t="s">
        <v>37</v>
      </c>
      <c r="X368" s="6" t="s">
        <v>2486</v>
      </c>
      <c r="Y368" s="6" t="s">
        <v>2499</v>
      </c>
      <c r="Z368" t="str">
        <f t="shared" si="31"/>
        <v>97714153051</v>
      </c>
      <c r="AA368" t="str">
        <f t="shared" si="32"/>
        <v>14153051</v>
      </c>
      <c r="AB368" t="str">
        <f t="shared" si="33"/>
        <v>14153051</v>
      </c>
      <c r="AC368" t="str">
        <f t="shared" si="34"/>
        <v>+97714153051</v>
      </c>
      <c r="AD368" t="str">
        <f t="shared" si="35"/>
        <v>Landline</v>
      </c>
      <c r="AE368" t="str">
        <f t="shared" si="36"/>
        <v>Valid</v>
      </c>
    </row>
    <row r="369" spans="1:31" x14ac:dyDescent="0.3">
      <c r="A369" s="2" t="s">
        <v>1621</v>
      </c>
      <c r="B369" s="2" t="s">
        <v>1622</v>
      </c>
      <c r="C369" s="2" t="s">
        <v>1623</v>
      </c>
      <c r="D369" s="2" t="s">
        <v>1479</v>
      </c>
      <c r="E369" s="2" t="s">
        <v>1624</v>
      </c>
      <c r="F369" s="2" t="s">
        <v>1624</v>
      </c>
      <c r="G369" s="5" t="str" cm="1">
        <f t="array" ref="G369">IFERROR(INDEX(City_Lookup!$B$2:$B$297,MATCH(TRUE,ISNUMBER(SEARCH(City_Lookup!$A$2:$A$297,$F369&amp;" "&amp;$E369)),0)),"Not Available")</f>
        <v>Udayapur</v>
      </c>
      <c r="H369" s="5" t="str">
        <f>IFERROR(INDEX(City_Lookup!$E$2:$E$66,MATCH($G369,City_Lookup!$D$2:$D$66,0)),"Not Available")</f>
        <v>Koshi</v>
      </c>
      <c r="I369" s="2" t="s">
        <v>1259</v>
      </c>
      <c r="J369" s="5" t="s">
        <v>29</v>
      </c>
      <c r="K369" s="5">
        <v>30</v>
      </c>
      <c r="L369" s="2"/>
      <c r="M369" s="5">
        <f t="shared" si="37"/>
        <v>30</v>
      </c>
      <c r="N369" s="2" t="s">
        <v>2491</v>
      </c>
      <c r="O369" s="2">
        <v>1</v>
      </c>
      <c r="P369" s="2" t="s">
        <v>27</v>
      </c>
      <c r="Q369" s="2" t="s">
        <v>1625</v>
      </c>
      <c r="R369" s="2" t="s">
        <v>33</v>
      </c>
      <c r="S369" s="2" t="s">
        <v>27</v>
      </c>
      <c r="T369" s="2" t="s">
        <v>34</v>
      </c>
      <c r="U369" s="2" t="s">
        <v>35</v>
      </c>
      <c r="V369" s="2" t="s">
        <v>36</v>
      </c>
      <c r="W369" s="2" t="s">
        <v>37</v>
      </c>
      <c r="X369" s="6" t="s">
        <v>2486</v>
      </c>
      <c r="Y369" s="6" t="s">
        <v>2499</v>
      </c>
      <c r="Z369" t="str">
        <f t="shared" si="31"/>
        <v>97714153051</v>
      </c>
      <c r="AA369" t="str">
        <f t="shared" si="32"/>
        <v>14153051</v>
      </c>
      <c r="AB369" t="str">
        <f t="shared" si="33"/>
        <v>14153051</v>
      </c>
      <c r="AC369" t="str">
        <f t="shared" si="34"/>
        <v>+97714153051</v>
      </c>
      <c r="AD369" t="str">
        <f t="shared" si="35"/>
        <v>Landline</v>
      </c>
      <c r="AE369" t="str">
        <f t="shared" si="36"/>
        <v>Valid</v>
      </c>
    </row>
    <row r="370" spans="1:31" x14ac:dyDescent="0.3">
      <c r="A370" s="2" t="s">
        <v>1626</v>
      </c>
      <c r="B370" s="2" t="s">
        <v>1627</v>
      </c>
      <c r="C370" s="2" t="s">
        <v>1628</v>
      </c>
      <c r="D370" s="2" t="s">
        <v>1473</v>
      </c>
      <c r="E370" s="2" t="s">
        <v>1629</v>
      </c>
      <c r="F370" s="2" t="s">
        <v>1629</v>
      </c>
      <c r="G370" s="5" t="str" cm="1">
        <f t="array" ref="G370">IFERROR(INDEX(City_Lookup!$B$2:$B$297,MATCH(TRUE,ISNUMBER(SEARCH(City_Lookup!$A$2:$A$297,$F370&amp;" "&amp;$E370)),0)),"Not Available")</f>
        <v>Morang</v>
      </c>
      <c r="H370" s="5" t="str">
        <f>IFERROR(INDEX(City_Lookup!$E$2:$E$66,MATCH($G370,City_Lookup!$D$2:$D$66,0)),"Not Available")</f>
        <v>Koshi</v>
      </c>
      <c r="I370" s="2" t="s">
        <v>1259</v>
      </c>
      <c r="J370" s="5" t="s">
        <v>29</v>
      </c>
      <c r="K370" s="5">
        <v>30</v>
      </c>
      <c r="L370" s="2"/>
      <c r="M370" s="5">
        <f t="shared" si="37"/>
        <v>30</v>
      </c>
      <c r="N370" s="2" t="s">
        <v>2492</v>
      </c>
      <c r="O370" s="2">
        <v>1</v>
      </c>
      <c r="P370" s="2" t="s">
        <v>27</v>
      </c>
      <c r="Q370" s="2" t="s">
        <v>1630</v>
      </c>
      <c r="R370" s="2" t="s">
        <v>33</v>
      </c>
      <c r="S370" s="2" t="s">
        <v>27</v>
      </c>
      <c r="T370" s="2" t="s">
        <v>34</v>
      </c>
      <c r="U370" s="2" t="s">
        <v>35</v>
      </c>
      <c r="V370" s="2" t="s">
        <v>36</v>
      </c>
      <c r="W370" s="2" t="s">
        <v>37</v>
      </c>
      <c r="X370" s="6" t="s">
        <v>2486</v>
      </c>
      <c r="Y370" s="6" t="s">
        <v>2499</v>
      </c>
      <c r="Z370" t="str">
        <f t="shared" si="31"/>
        <v>97714153051</v>
      </c>
      <c r="AA370" t="str">
        <f t="shared" si="32"/>
        <v>14153051</v>
      </c>
      <c r="AB370" t="str">
        <f t="shared" si="33"/>
        <v>14153051</v>
      </c>
      <c r="AC370" t="str">
        <f t="shared" si="34"/>
        <v>+97714153051</v>
      </c>
      <c r="AD370" t="str">
        <f t="shared" si="35"/>
        <v>Landline</v>
      </c>
      <c r="AE370" t="str">
        <f t="shared" si="36"/>
        <v>Valid</v>
      </c>
    </row>
    <row r="371" spans="1:31" x14ac:dyDescent="0.3">
      <c r="A371" s="2" t="s">
        <v>1631</v>
      </c>
      <c r="B371" s="2" t="s">
        <v>1632</v>
      </c>
      <c r="C371" s="2" t="s">
        <v>1633</v>
      </c>
      <c r="D371" s="2" t="s">
        <v>1473</v>
      </c>
      <c r="E371" s="2" t="s">
        <v>1634</v>
      </c>
      <c r="F371" s="2" t="s">
        <v>1634</v>
      </c>
      <c r="G371" s="5" t="str" cm="1">
        <f t="array" ref="G371">IFERROR(INDEX(City_Lookup!$B$2:$B$297,MATCH(TRUE,ISNUMBER(SEARCH(City_Lookup!$A$2:$A$297,$F371&amp;" "&amp;$E371)),0)),"Not Available")</f>
        <v>Morang</v>
      </c>
      <c r="H371" s="5" t="str">
        <f>IFERROR(INDEX(City_Lookup!$E$2:$E$66,MATCH($G371,City_Lookup!$D$2:$D$66,0)),"Not Available")</f>
        <v>Koshi</v>
      </c>
      <c r="I371" s="2" t="s">
        <v>1259</v>
      </c>
      <c r="J371" s="5" t="s">
        <v>29</v>
      </c>
      <c r="K371" s="5">
        <v>30</v>
      </c>
      <c r="L371" s="2"/>
      <c r="M371" s="5">
        <f t="shared" si="37"/>
        <v>30</v>
      </c>
      <c r="N371" s="2" t="s">
        <v>2491</v>
      </c>
      <c r="O371" s="2">
        <v>1</v>
      </c>
      <c r="P371" s="2" t="s">
        <v>27</v>
      </c>
      <c r="Q371" s="2" t="s">
        <v>1635</v>
      </c>
      <c r="R371" s="2" t="s">
        <v>33</v>
      </c>
      <c r="S371" s="2" t="s">
        <v>27</v>
      </c>
      <c r="T371" s="2" t="s">
        <v>34</v>
      </c>
      <c r="U371" s="2" t="s">
        <v>35</v>
      </c>
      <c r="V371" s="2" t="s">
        <v>36</v>
      </c>
      <c r="W371" s="2" t="s">
        <v>37</v>
      </c>
      <c r="X371" s="6" t="s">
        <v>2486</v>
      </c>
      <c r="Y371" s="6" t="s">
        <v>2499</v>
      </c>
      <c r="Z371" t="str">
        <f t="shared" si="31"/>
        <v>97714153051</v>
      </c>
      <c r="AA371" t="str">
        <f t="shared" si="32"/>
        <v>14153051</v>
      </c>
      <c r="AB371" t="str">
        <f t="shared" si="33"/>
        <v>14153051</v>
      </c>
      <c r="AC371" t="str">
        <f t="shared" si="34"/>
        <v>+97714153051</v>
      </c>
      <c r="AD371" t="str">
        <f t="shared" si="35"/>
        <v>Landline</v>
      </c>
      <c r="AE371" t="str">
        <f t="shared" si="36"/>
        <v>Valid</v>
      </c>
    </row>
    <row r="372" spans="1:31" x14ac:dyDescent="0.3">
      <c r="A372" s="2" t="s">
        <v>1636</v>
      </c>
      <c r="B372" s="2" t="s">
        <v>1637</v>
      </c>
      <c r="C372" s="2" t="s">
        <v>1638</v>
      </c>
      <c r="D372" s="2" t="s">
        <v>1473</v>
      </c>
      <c r="E372" s="2" t="s">
        <v>1639</v>
      </c>
      <c r="F372" s="2" t="s">
        <v>1639</v>
      </c>
      <c r="G372" s="5" t="str" cm="1">
        <f t="array" ref="G372">IFERROR(INDEX(City_Lookup!$B$2:$B$297,MATCH(TRUE,ISNUMBER(SEARCH(City_Lookup!$A$2:$A$297,$F372&amp;" "&amp;$E372)),0)),"Not Available")</f>
        <v>Morang</v>
      </c>
      <c r="H372" s="5" t="str">
        <f>IFERROR(INDEX(City_Lookup!$E$2:$E$66,MATCH($G372,City_Lookup!$D$2:$D$66,0)),"Not Available")</f>
        <v>Koshi</v>
      </c>
      <c r="I372" s="2" t="s">
        <v>1259</v>
      </c>
      <c r="J372" s="5" t="s">
        <v>29</v>
      </c>
      <c r="K372" s="5">
        <v>30</v>
      </c>
      <c r="L372" s="2"/>
      <c r="M372" s="5">
        <f t="shared" si="37"/>
        <v>30</v>
      </c>
      <c r="N372" s="2" t="s">
        <v>2491</v>
      </c>
      <c r="O372" s="2">
        <v>1</v>
      </c>
      <c r="P372" s="2" t="s">
        <v>27</v>
      </c>
      <c r="Q372" s="2" t="s">
        <v>1640</v>
      </c>
      <c r="R372" s="2" t="s">
        <v>33</v>
      </c>
      <c r="S372" s="2" t="s">
        <v>27</v>
      </c>
      <c r="T372" s="2" t="s">
        <v>34</v>
      </c>
      <c r="U372" s="2" t="s">
        <v>35</v>
      </c>
      <c r="V372" s="2" t="s">
        <v>36</v>
      </c>
      <c r="W372" s="2" t="s">
        <v>37</v>
      </c>
      <c r="X372" s="6" t="s">
        <v>2486</v>
      </c>
      <c r="Y372" s="6" t="s">
        <v>2499</v>
      </c>
      <c r="Z372" t="str">
        <f t="shared" si="31"/>
        <v>97714153051</v>
      </c>
      <c r="AA372" t="str">
        <f t="shared" si="32"/>
        <v>14153051</v>
      </c>
      <c r="AB372" t="str">
        <f t="shared" si="33"/>
        <v>14153051</v>
      </c>
      <c r="AC372" t="str">
        <f t="shared" si="34"/>
        <v>+97714153051</v>
      </c>
      <c r="AD372" t="str">
        <f t="shared" si="35"/>
        <v>Landline</v>
      </c>
      <c r="AE372" t="str">
        <f t="shared" si="36"/>
        <v>Valid</v>
      </c>
    </row>
    <row r="373" spans="1:31" x14ac:dyDescent="0.3">
      <c r="A373" s="2" t="s">
        <v>1641</v>
      </c>
      <c r="B373" s="2" t="s">
        <v>1642</v>
      </c>
      <c r="C373" s="2" t="s">
        <v>1643</v>
      </c>
      <c r="D373" s="2" t="s">
        <v>1473</v>
      </c>
      <c r="E373" s="2" t="s">
        <v>1644</v>
      </c>
      <c r="F373" s="2" t="s">
        <v>1644</v>
      </c>
      <c r="G373" s="5" t="str" cm="1">
        <f t="array" ref="G373">IFERROR(INDEX(City_Lookup!$B$2:$B$297,MATCH(TRUE,ISNUMBER(SEARCH(City_Lookup!$A$2:$A$297,$F373&amp;" "&amp;$E373)),0)),"Not Available")</f>
        <v>Morang</v>
      </c>
      <c r="H373" s="5" t="str">
        <f>IFERROR(INDEX(City_Lookup!$E$2:$E$66,MATCH($G373,City_Lookup!$D$2:$D$66,0)),"Not Available")</f>
        <v>Koshi</v>
      </c>
      <c r="I373" s="2" t="s">
        <v>1259</v>
      </c>
      <c r="J373" s="5" t="s">
        <v>29</v>
      </c>
      <c r="K373" s="5">
        <v>30</v>
      </c>
      <c r="L373" s="2"/>
      <c r="M373" s="5">
        <f t="shared" si="37"/>
        <v>30</v>
      </c>
      <c r="N373" s="2" t="s">
        <v>2491</v>
      </c>
      <c r="O373" s="2">
        <v>1</v>
      </c>
      <c r="P373" s="2" t="s">
        <v>27</v>
      </c>
      <c r="Q373" s="2" t="s">
        <v>1645</v>
      </c>
      <c r="R373" s="2" t="s">
        <v>33</v>
      </c>
      <c r="S373" s="2" t="s">
        <v>27</v>
      </c>
      <c r="T373" s="2" t="s">
        <v>34</v>
      </c>
      <c r="U373" s="2" t="s">
        <v>35</v>
      </c>
      <c r="V373" s="2" t="s">
        <v>36</v>
      </c>
      <c r="W373" s="2" t="s">
        <v>37</v>
      </c>
      <c r="X373" s="6" t="s">
        <v>2486</v>
      </c>
      <c r="Y373" s="6" t="s">
        <v>2499</v>
      </c>
      <c r="Z373" t="str">
        <f t="shared" si="31"/>
        <v>97714153051</v>
      </c>
      <c r="AA373" t="str">
        <f t="shared" si="32"/>
        <v>14153051</v>
      </c>
      <c r="AB373" t="str">
        <f t="shared" si="33"/>
        <v>14153051</v>
      </c>
      <c r="AC373" t="str">
        <f t="shared" si="34"/>
        <v>+97714153051</v>
      </c>
      <c r="AD373" t="str">
        <f t="shared" si="35"/>
        <v>Landline</v>
      </c>
      <c r="AE373" t="str">
        <f t="shared" si="36"/>
        <v>Valid</v>
      </c>
    </row>
    <row r="374" spans="1:31" x14ac:dyDescent="0.3">
      <c r="A374" s="2" t="s">
        <v>1646</v>
      </c>
      <c r="B374" s="2" t="s">
        <v>1647</v>
      </c>
      <c r="C374" s="2" t="s">
        <v>1648</v>
      </c>
      <c r="D374" s="2" t="s">
        <v>1473</v>
      </c>
      <c r="E374" s="2" t="s">
        <v>1649</v>
      </c>
      <c r="F374" s="2" t="s">
        <v>1649</v>
      </c>
      <c r="G374" s="5" t="str" cm="1">
        <f t="array" ref="G374">IFERROR(INDEX(City_Lookup!$B$2:$B$297,MATCH(TRUE,ISNUMBER(SEARCH(City_Lookup!$A$2:$A$297,$F374&amp;" "&amp;$E374)),0)),"Not Available")</f>
        <v>Morang</v>
      </c>
      <c r="H374" s="5" t="str">
        <f>IFERROR(INDEX(City_Lookup!$E$2:$E$66,MATCH($G374,City_Lookup!$D$2:$D$66,0)),"Not Available")</f>
        <v>Koshi</v>
      </c>
      <c r="I374" s="2" t="s">
        <v>1259</v>
      </c>
      <c r="J374" s="5" t="s">
        <v>29</v>
      </c>
      <c r="K374" s="5">
        <v>30</v>
      </c>
      <c r="L374" s="2"/>
      <c r="M374" s="5">
        <f t="shared" si="37"/>
        <v>30</v>
      </c>
      <c r="N374" s="2" t="s">
        <v>2491</v>
      </c>
      <c r="O374" s="2">
        <v>1</v>
      </c>
      <c r="P374" s="2" t="s">
        <v>27</v>
      </c>
      <c r="Q374" s="2" t="s">
        <v>1650</v>
      </c>
      <c r="R374" s="2" t="s">
        <v>33</v>
      </c>
      <c r="S374" s="2" t="s">
        <v>27</v>
      </c>
      <c r="T374" s="2" t="s">
        <v>34</v>
      </c>
      <c r="U374" s="2" t="s">
        <v>35</v>
      </c>
      <c r="V374" s="2" t="s">
        <v>36</v>
      </c>
      <c r="W374" s="2" t="s">
        <v>37</v>
      </c>
      <c r="X374" s="6" t="s">
        <v>2486</v>
      </c>
      <c r="Y374" s="6" t="s">
        <v>2499</v>
      </c>
      <c r="Z374" t="str">
        <f t="shared" si="31"/>
        <v>97714153051</v>
      </c>
      <c r="AA374" t="str">
        <f t="shared" si="32"/>
        <v>14153051</v>
      </c>
      <c r="AB374" t="str">
        <f t="shared" si="33"/>
        <v>14153051</v>
      </c>
      <c r="AC374" t="str">
        <f t="shared" si="34"/>
        <v>+97714153051</v>
      </c>
      <c r="AD374" t="str">
        <f t="shared" si="35"/>
        <v>Landline</v>
      </c>
      <c r="AE374" t="str">
        <f t="shared" si="36"/>
        <v>Valid</v>
      </c>
    </row>
    <row r="375" spans="1:31" x14ac:dyDescent="0.3">
      <c r="A375" s="2" t="s">
        <v>1651</v>
      </c>
      <c r="B375" s="2" t="s">
        <v>1652</v>
      </c>
      <c r="C375" s="2" t="s">
        <v>1653</v>
      </c>
      <c r="D375" s="2" t="s">
        <v>1479</v>
      </c>
      <c r="E375" s="2" t="s">
        <v>1654</v>
      </c>
      <c r="F375" s="2" t="s">
        <v>1654</v>
      </c>
      <c r="G375" s="5" t="str" cm="1">
        <f t="array" ref="G375">IFERROR(INDEX(City_Lookup!$B$2:$B$297,MATCH(TRUE,ISNUMBER(SEARCH(City_Lookup!$A$2:$A$297,$F375&amp;" "&amp;$E375)),0)),"Not Available")</f>
        <v>Jhapa</v>
      </c>
      <c r="H375" s="5" t="str">
        <f>IFERROR(INDEX(City_Lookup!$E$2:$E$66,MATCH($G375,City_Lookup!$D$2:$D$66,0)),"Not Available")</f>
        <v>Koshi</v>
      </c>
      <c r="I375" s="2" t="s">
        <v>1259</v>
      </c>
      <c r="J375" s="5" t="s">
        <v>29</v>
      </c>
      <c r="K375" s="5">
        <v>30</v>
      </c>
      <c r="L375" s="2"/>
      <c r="M375" s="5">
        <f t="shared" si="37"/>
        <v>30</v>
      </c>
      <c r="N375" s="2" t="s">
        <v>2492</v>
      </c>
      <c r="O375" s="2">
        <v>1</v>
      </c>
      <c r="P375" s="2" t="s">
        <v>27</v>
      </c>
      <c r="Q375" s="2" t="s">
        <v>1655</v>
      </c>
      <c r="R375" s="2" t="s">
        <v>33</v>
      </c>
      <c r="S375" s="2" t="s">
        <v>27</v>
      </c>
      <c r="T375" s="2" t="s">
        <v>34</v>
      </c>
      <c r="U375" s="2" t="s">
        <v>35</v>
      </c>
      <c r="V375" s="2" t="s">
        <v>36</v>
      </c>
      <c r="W375" s="2" t="s">
        <v>37</v>
      </c>
      <c r="X375" s="6" t="s">
        <v>2486</v>
      </c>
      <c r="Y375" s="6" t="s">
        <v>2499</v>
      </c>
      <c r="Z375" t="str">
        <f t="shared" si="31"/>
        <v>97714153051</v>
      </c>
      <c r="AA375" t="str">
        <f t="shared" si="32"/>
        <v>14153051</v>
      </c>
      <c r="AB375" t="str">
        <f t="shared" si="33"/>
        <v>14153051</v>
      </c>
      <c r="AC375" t="str">
        <f t="shared" si="34"/>
        <v>+97714153051</v>
      </c>
      <c r="AD375" t="str">
        <f t="shared" si="35"/>
        <v>Landline</v>
      </c>
      <c r="AE375" t="str">
        <f t="shared" si="36"/>
        <v>Valid</v>
      </c>
    </row>
    <row r="376" spans="1:31" x14ac:dyDescent="0.3">
      <c r="A376" s="2" t="s">
        <v>1656</v>
      </c>
      <c r="B376" s="2" t="s">
        <v>1657</v>
      </c>
      <c r="C376" s="2" t="s">
        <v>1658</v>
      </c>
      <c r="D376" s="2" t="s">
        <v>1318</v>
      </c>
      <c r="E376" s="2" t="s">
        <v>1659</v>
      </c>
      <c r="F376" s="2" t="s">
        <v>1659</v>
      </c>
      <c r="G376" s="5" t="str" cm="1">
        <f t="array" ref="G376">IFERROR(INDEX(City_Lookup!$B$2:$B$297,MATCH(TRUE,ISNUMBER(SEARCH(City_Lookup!$A$2:$A$297,$F376&amp;" "&amp;$E376)),0)),"Not Available")</f>
        <v>Jhapa</v>
      </c>
      <c r="H376" s="5" t="str">
        <f>IFERROR(INDEX(City_Lookup!$E$2:$E$66,MATCH($G376,City_Lookup!$D$2:$D$66,0)),"Not Available")</f>
        <v>Koshi</v>
      </c>
      <c r="I376" s="2" t="s">
        <v>1259</v>
      </c>
      <c r="J376" s="5" t="s">
        <v>29</v>
      </c>
      <c r="K376" s="5">
        <v>30</v>
      </c>
      <c r="L376" s="2"/>
      <c r="M376" s="5">
        <f t="shared" si="37"/>
        <v>30</v>
      </c>
      <c r="N376" s="2" t="s">
        <v>2492</v>
      </c>
      <c r="O376" s="2">
        <v>1</v>
      </c>
      <c r="P376" s="2" t="s">
        <v>27</v>
      </c>
      <c r="Q376" s="2" t="s">
        <v>1660</v>
      </c>
      <c r="R376" s="2" t="s">
        <v>33</v>
      </c>
      <c r="S376" s="2" t="s">
        <v>27</v>
      </c>
      <c r="T376" s="2" t="s">
        <v>34</v>
      </c>
      <c r="U376" s="2" t="s">
        <v>35</v>
      </c>
      <c r="V376" s="2" t="s">
        <v>36</v>
      </c>
      <c r="W376" s="2" t="s">
        <v>37</v>
      </c>
      <c r="X376" s="6" t="s">
        <v>2486</v>
      </c>
      <c r="Y376" s="6" t="s">
        <v>2499</v>
      </c>
      <c r="Z376" t="str">
        <f t="shared" si="31"/>
        <v>97714153051</v>
      </c>
      <c r="AA376" t="str">
        <f t="shared" si="32"/>
        <v>14153051</v>
      </c>
      <c r="AB376" t="str">
        <f t="shared" si="33"/>
        <v>14153051</v>
      </c>
      <c r="AC376" t="str">
        <f t="shared" si="34"/>
        <v>+97714153051</v>
      </c>
      <c r="AD376" t="str">
        <f t="shared" si="35"/>
        <v>Landline</v>
      </c>
      <c r="AE376" t="str">
        <f t="shared" si="36"/>
        <v>Valid</v>
      </c>
    </row>
    <row r="377" spans="1:31" x14ac:dyDescent="0.3">
      <c r="A377" s="2" t="s">
        <v>1661</v>
      </c>
      <c r="B377" s="2" t="s">
        <v>1662</v>
      </c>
      <c r="C377" s="2" t="s">
        <v>1663</v>
      </c>
      <c r="D377" s="2" t="s">
        <v>1473</v>
      </c>
      <c r="E377" s="2" t="s">
        <v>1654</v>
      </c>
      <c r="F377" s="2" t="s">
        <v>1654</v>
      </c>
      <c r="G377" s="5" t="str" cm="1">
        <f t="array" ref="G377">IFERROR(INDEX(City_Lookup!$B$2:$B$297,MATCH(TRUE,ISNUMBER(SEARCH(City_Lookup!$A$2:$A$297,$F377&amp;" "&amp;$E377)),0)),"Not Available")</f>
        <v>Jhapa</v>
      </c>
      <c r="H377" s="5" t="str">
        <f>IFERROR(INDEX(City_Lookup!$E$2:$E$66,MATCH($G377,City_Lookup!$D$2:$D$66,0)),"Not Available")</f>
        <v>Koshi</v>
      </c>
      <c r="I377" s="2" t="s">
        <v>1259</v>
      </c>
      <c r="J377" s="5" t="s">
        <v>29</v>
      </c>
      <c r="K377" s="5">
        <v>30</v>
      </c>
      <c r="L377" s="2"/>
      <c r="M377" s="5">
        <f t="shared" si="37"/>
        <v>30</v>
      </c>
      <c r="N377" s="2" t="s">
        <v>2491</v>
      </c>
      <c r="O377" s="2">
        <v>1</v>
      </c>
      <c r="P377" s="2" t="s">
        <v>27</v>
      </c>
      <c r="Q377" s="2" t="s">
        <v>1664</v>
      </c>
      <c r="R377" s="2" t="s">
        <v>33</v>
      </c>
      <c r="S377" s="2" t="s">
        <v>27</v>
      </c>
      <c r="T377" s="2" t="s">
        <v>34</v>
      </c>
      <c r="U377" s="2" t="s">
        <v>35</v>
      </c>
      <c r="V377" s="2" t="s">
        <v>36</v>
      </c>
      <c r="W377" s="2" t="s">
        <v>37</v>
      </c>
      <c r="X377" s="6" t="s">
        <v>2486</v>
      </c>
      <c r="Y377" s="6" t="s">
        <v>2499</v>
      </c>
      <c r="Z377" t="str">
        <f t="shared" si="31"/>
        <v>97714153051</v>
      </c>
      <c r="AA377" t="str">
        <f t="shared" si="32"/>
        <v>14153051</v>
      </c>
      <c r="AB377" t="str">
        <f t="shared" si="33"/>
        <v>14153051</v>
      </c>
      <c r="AC377" t="str">
        <f t="shared" si="34"/>
        <v>+97714153051</v>
      </c>
      <c r="AD377" t="str">
        <f t="shared" si="35"/>
        <v>Landline</v>
      </c>
      <c r="AE377" t="str">
        <f t="shared" si="36"/>
        <v>Valid</v>
      </c>
    </row>
    <row r="378" spans="1:31" x14ac:dyDescent="0.3">
      <c r="A378" s="2" t="s">
        <v>1665</v>
      </c>
      <c r="B378" s="2" t="s">
        <v>1666</v>
      </c>
      <c r="C378" s="2" t="s">
        <v>1667</v>
      </c>
      <c r="D378" s="2" t="s">
        <v>1479</v>
      </c>
      <c r="E378" s="2" t="s">
        <v>1668</v>
      </c>
      <c r="F378" s="2" t="s">
        <v>1668</v>
      </c>
      <c r="G378" s="5" t="str" cm="1">
        <f t="array" ref="G378">IFERROR(INDEX(City_Lookup!$B$2:$B$297,MATCH(TRUE,ISNUMBER(SEARCH(City_Lookup!$A$2:$A$297,$F378&amp;" "&amp;$E378)),0)),"Not Available")</f>
        <v>Jhapa</v>
      </c>
      <c r="H378" s="5" t="str">
        <f>IFERROR(INDEX(City_Lookup!$E$2:$E$66,MATCH($G378,City_Lookup!$D$2:$D$66,0)),"Not Available")</f>
        <v>Koshi</v>
      </c>
      <c r="I378" s="2" t="s">
        <v>1259</v>
      </c>
      <c r="J378" s="5" t="s">
        <v>29</v>
      </c>
      <c r="K378" s="5">
        <v>30</v>
      </c>
      <c r="L378" s="2"/>
      <c r="M378" s="5">
        <f t="shared" si="37"/>
        <v>30</v>
      </c>
      <c r="N378" s="2" t="s">
        <v>2491</v>
      </c>
      <c r="O378" s="2">
        <v>1</v>
      </c>
      <c r="P378" s="2" t="s">
        <v>27</v>
      </c>
      <c r="Q378" s="2" t="s">
        <v>1669</v>
      </c>
      <c r="R378" s="2" t="s">
        <v>33</v>
      </c>
      <c r="S378" s="2" t="s">
        <v>27</v>
      </c>
      <c r="T378" s="2" t="s">
        <v>34</v>
      </c>
      <c r="U378" s="2" t="s">
        <v>35</v>
      </c>
      <c r="V378" s="2" t="s">
        <v>36</v>
      </c>
      <c r="W378" s="2" t="s">
        <v>37</v>
      </c>
      <c r="X378" s="6" t="s">
        <v>2486</v>
      </c>
      <c r="Y378" s="6" t="s">
        <v>2499</v>
      </c>
      <c r="Z378" t="str">
        <f t="shared" si="31"/>
        <v>97714153051</v>
      </c>
      <c r="AA378" t="str">
        <f t="shared" si="32"/>
        <v>14153051</v>
      </c>
      <c r="AB378" t="str">
        <f t="shared" si="33"/>
        <v>14153051</v>
      </c>
      <c r="AC378" t="str">
        <f t="shared" si="34"/>
        <v>+97714153051</v>
      </c>
      <c r="AD378" t="str">
        <f t="shared" si="35"/>
        <v>Landline</v>
      </c>
      <c r="AE378" t="str">
        <f t="shared" si="36"/>
        <v>Valid</v>
      </c>
    </row>
    <row r="379" spans="1:31" x14ac:dyDescent="0.3">
      <c r="A379" s="2" t="s">
        <v>1670</v>
      </c>
      <c r="B379" s="2" t="s">
        <v>1671</v>
      </c>
      <c r="C379" s="2" t="s">
        <v>1672</v>
      </c>
      <c r="D379" s="2" t="s">
        <v>1473</v>
      </c>
      <c r="E379" s="2" t="s">
        <v>1673</v>
      </c>
      <c r="F379" s="2" t="s">
        <v>1673</v>
      </c>
      <c r="G379" s="5" t="str" cm="1">
        <f t="array" ref="G379">IFERROR(INDEX(City_Lookup!$B$2:$B$297,MATCH(TRUE,ISNUMBER(SEARCH(City_Lookup!$A$2:$A$297,$F379&amp;" "&amp;$E379)),0)),"Not Available")</f>
        <v>Jhapa</v>
      </c>
      <c r="H379" s="5" t="str">
        <f>IFERROR(INDEX(City_Lookup!$E$2:$E$66,MATCH($G379,City_Lookup!$D$2:$D$66,0)),"Not Available")</f>
        <v>Koshi</v>
      </c>
      <c r="I379" s="2" t="s">
        <v>1259</v>
      </c>
      <c r="J379" s="5" t="s">
        <v>29</v>
      </c>
      <c r="K379" s="5">
        <v>30</v>
      </c>
      <c r="L379" s="2"/>
      <c r="M379" s="5">
        <f t="shared" si="37"/>
        <v>30</v>
      </c>
      <c r="N379" s="2" t="s">
        <v>2491</v>
      </c>
      <c r="O379" s="2">
        <v>1</v>
      </c>
      <c r="P379" s="2" t="s">
        <v>27</v>
      </c>
      <c r="Q379" s="2" t="s">
        <v>1674</v>
      </c>
      <c r="R379" s="2" t="s">
        <v>33</v>
      </c>
      <c r="S379" s="2" t="s">
        <v>27</v>
      </c>
      <c r="T379" s="2" t="s">
        <v>34</v>
      </c>
      <c r="U379" s="2" t="s">
        <v>35</v>
      </c>
      <c r="V379" s="2" t="s">
        <v>36</v>
      </c>
      <c r="W379" s="2" t="s">
        <v>37</v>
      </c>
      <c r="X379" s="6" t="s">
        <v>2486</v>
      </c>
      <c r="Y379" s="6" t="s">
        <v>2499</v>
      </c>
      <c r="Z379" t="str">
        <f t="shared" si="31"/>
        <v>97714153051</v>
      </c>
      <c r="AA379" t="str">
        <f t="shared" si="32"/>
        <v>14153051</v>
      </c>
      <c r="AB379" t="str">
        <f t="shared" si="33"/>
        <v>14153051</v>
      </c>
      <c r="AC379" t="str">
        <f t="shared" si="34"/>
        <v>+97714153051</v>
      </c>
      <c r="AD379" t="str">
        <f t="shared" si="35"/>
        <v>Landline</v>
      </c>
      <c r="AE379" t="str">
        <f t="shared" si="36"/>
        <v>Valid</v>
      </c>
    </row>
    <row r="380" spans="1:31" x14ac:dyDescent="0.3">
      <c r="A380" s="2" t="s">
        <v>1675</v>
      </c>
      <c r="B380" s="2" t="s">
        <v>1676</v>
      </c>
      <c r="C380" s="2" t="s">
        <v>1677</v>
      </c>
      <c r="D380" s="2" t="s">
        <v>1473</v>
      </c>
      <c r="E380" s="2" t="s">
        <v>1678</v>
      </c>
      <c r="F380" s="2" t="s">
        <v>1678</v>
      </c>
      <c r="G380" s="5" t="str" cm="1">
        <f t="array" ref="G380">IFERROR(INDEX(City_Lookup!$B$2:$B$297,MATCH(TRUE,ISNUMBER(SEARCH(City_Lookup!$A$2:$A$297,$F380&amp;" "&amp;$E380)),0)),"Not Available")</f>
        <v>Jhapa</v>
      </c>
      <c r="H380" s="5" t="str">
        <f>IFERROR(INDEX(City_Lookup!$E$2:$E$66,MATCH($G380,City_Lookup!$D$2:$D$66,0)),"Not Available")</f>
        <v>Koshi</v>
      </c>
      <c r="I380" s="2" t="s">
        <v>1259</v>
      </c>
      <c r="J380" s="5" t="s">
        <v>29</v>
      </c>
      <c r="K380" s="5">
        <v>30</v>
      </c>
      <c r="L380" s="2"/>
      <c r="M380" s="5">
        <f t="shared" si="37"/>
        <v>30</v>
      </c>
      <c r="N380" s="2" t="s">
        <v>2491</v>
      </c>
      <c r="O380" s="2">
        <v>1</v>
      </c>
      <c r="P380" s="2" t="s">
        <v>27</v>
      </c>
      <c r="Q380" s="2" t="s">
        <v>1679</v>
      </c>
      <c r="R380" s="2" t="s">
        <v>33</v>
      </c>
      <c r="S380" s="2" t="s">
        <v>27</v>
      </c>
      <c r="T380" s="2" t="s">
        <v>34</v>
      </c>
      <c r="U380" s="2" t="s">
        <v>35</v>
      </c>
      <c r="V380" s="2" t="s">
        <v>36</v>
      </c>
      <c r="W380" s="2" t="s">
        <v>37</v>
      </c>
      <c r="X380" s="6" t="s">
        <v>2486</v>
      </c>
      <c r="Y380" s="6" t="s">
        <v>2499</v>
      </c>
      <c r="Z380" t="str">
        <f t="shared" si="31"/>
        <v>97714153051</v>
      </c>
      <c r="AA380" t="str">
        <f t="shared" si="32"/>
        <v>14153051</v>
      </c>
      <c r="AB380" t="str">
        <f t="shared" si="33"/>
        <v>14153051</v>
      </c>
      <c r="AC380" t="str">
        <f t="shared" si="34"/>
        <v>+97714153051</v>
      </c>
      <c r="AD380" t="str">
        <f t="shared" si="35"/>
        <v>Landline</v>
      </c>
      <c r="AE380" t="str">
        <f t="shared" si="36"/>
        <v>Valid</v>
      </c>
    </row>
    <row r="381" spans="1:31" x14ac:dyDescent="0.3">
      <c r="A381" s="2" t="s">
        <v>1680</v>
      </c>
      <c r="B381" s="2" t="s">
        <v>1681</v>
      </c>
      <c r="C381" s="2" t="s">
        <v>1682</v>
      </c>
      <c r="D381" s="2" t="s">
        <v>1479</v>
      </c>
      <c r="E381" s="2" t="s">
        <v>1683</v>
      </c>
      <c r="F381" s="2" t="s">
        <v>1683</v>
      </c>
      <c r="G381" s="5" t="str" cm="1">
        <f t="array" ref="G381">IFERROR(INDEX(City_Lookup!$B$2:$B$297,MATCH(TRUE,ISNUMBER(SEARCH(City_Lookup!$A$2:$A$297,$F381&amp;" "&amp;$E381)),0)),"Not Available")</f>
        <v>Dhankuta</v>
      </c>
      <c r="H381" s="5" t="str">
        <f>IFERROR(INDEX(City_Lookup!$E$2:$E$66,MATCH($G381,City_Lookup!$D$2:$D$66,0)),"Not Available")</f>
        <v>Koshi</v>
      </c>
      <c r="I381" s="2" t="s">
        <v>1259</v>
      </c>
      <c r="J381" s="5" t="s">
        <v>29</v>
      </c>
      <c r="K381" s="5">
        <v>30</v>
      </c>
      <c r="L381" s="2"/>
      <c r="M381" s="5">
        <f t="shared" si="37"/>
        <v>30</v>
      </c>
      <c r="N381" s="2" t="s">
        <v>2491</v>
      </c>
      <c r="O381" s="2">
        <v>1</v>
      </c>
      <c r="P381" s="2" t="s">
        <v>27</v>
      </c>
      <c r="Q381" s="2" t="s">
        <v>1684</v>
      </c>
      <c r="R381" s="2" t="s">
        <v>33</v>
      </c>
      <c r="S381" s="2" t="s">
        <v>27</v>
      </c>
      <c r="T381" s="2" t="s">
        <v>34</v>
      </c>
      <c r="U381" s="2" t="s">
        <v>35</v>
      </c>
      <c r="V381" s="2" t="s">
        <v>36</v>
      </c>
      <c r="W381" s="2" t="s">
        <v>37</v>
      </c>
      <c r="X381" s="6" t="s">
        <v>2486</v>
      </c>
      <c r="Y381" s="6" t="s">
        <v>2499</v>
      </c>
      <c r="Z381" t="str">
        <f t="shared" si="31"/>
        <v>97714153051</v>
      </c>
      <c r="AA381" t="str">
        <f t="shared" si="32"/>
        <v>14153051</v>
      </c>
      <c r="AB381" t="str">
        <f t="shared" si="33"/>
        <v>14153051</v>
      </c>
      <c r="AC381" t="str">
        <f t="shared" si="34"/>
        <v>+97714153051</v>
      </c>
      <c r="AD381" t="str">
        <f t="shared" si="35"/>
        <v>Landline</v>
      </c>
      <c r="AE381" t="str">
        <f t="shared" si="36"/>
        <v>Valid</v>
      </c>
    </row>
    <row r="382" spans="1:31" x14ac:dyDescent="0.3">
      <c r="A382" s="2" t="s">
        <v>1685</v>
      </c>
      <c r="B382" s="2" t="s">
        <v>1686</v>
      </c>
      <c r="C382" s="2" t="s">
        <v>1687</v>
      </c>
      <c r="D382" s="2" t="s">
        <v>1473</v>
      </c>
      <c r="E382" s="2" t="s">
        <v>1688</v>
      </c>
      <c r="F382" s="2" t="s">
        <v>1688</v>
      </c>
      <c r="G382" s="5" t="str" cm="1">
        <f t="array" ref="G382">IFERROR(INDEX(City_Lookup!$B$2:$B$297,MATCH(TRUE,ISNUMBER(SEARCH(City_Lookup!$A$2:$A$297,$F382&amp;" "&amp;$E382)),0)),"Not Available")</f>
        <v>Morang</v>
      </c>
      <c r="H382" s="5" t="str">
        <f>IFERROR(INDEX(City_Lookup!$E$2:$E$66,MATCH($G382,City_Lookup!$D$2:$D$66,0)),"Not Available")</f>
        <v>Koshi</v>
      </c>
      <c r="I382" s="2" t="s">
        <v>1259</v>
      </c>
      <c r="J382" s="5" t="s">
        <v>29</v>
      </c>
      <c r="K382" s="5">
        <v>30</v>
      </c>
      <c r="L382" s="2"/>
      <c r="M382" s="5">
        <f t="shared" si="37"/>
        <v>30</v>
      </c>
      <c r="N382" s="2" t="s">
        <v>2491</v>
      </c>
      <c r="O382" s="2">
        <v>1</v>
      </c>
      <c r="P382" s="2" t="s">
        <v>27</v>
      </c>
      <c r="Q382" s="2" t="s">
        <v>1689</v>
      </c>
      <c r="R382" s="2" t="s">
        <v>33</v>
      </c>
      <c r="S382" s="2" t="s">
        <v>27</v>
      </c>
      <c r="T382" s="2" t="s">
        <v>34</v>
      </c>
      <c r="U382" s="2" t="s">
        <v>35</v>
      </c>
      <c r="V382" s="2" t="s">
        <v>36</v>
      </c>
      <c r="W382" s="2" t="s">
        <v>37</v>
      </c>
      <c r="X382" s="6" t="s">
        <v>2486</v>
      </c>
      <c r="Y382" s="6" t="s">
        <v>2499</v>
      </c>
      <c r="Z382" t="str">
        <f t="shared" si="31"/>
        <v>97714153051</v>
      </c>
      <c r="AA382" t="str">
        <f t="shared" si="32"/>
        <v>14153051</v>
      </c>
      <c r="AB382" t="str">
        <f t="shared" si="33"/>
        <v>14153051</v>
      </c>
      <c r="AC382" t="str">
        <f t="shared" si="34"/>
        <v>+97714153051</v>
      </c>
      <c r="AD382" t="str">
        <f t="shared" si="35"/>
        <v>Landline</v>
      </c>
      <c r="AE382" t="str">
        <f t="shared" si="36"/>
        <v>Valid</v>
      </c>
    </row>
    <row r="383" spans="1:31" x14ac:dyDescent="0.3">
      <c r="A383" s="2" t="s">
        <v>1690</v>
      </c>
      <c r="B383" s="2" t="s">
        <v>1691</v>
      </c>
      <c r="C383" s="2" t="s">
        <v>1692</v>
      </c>
      <c r="D383" s="2" t="s">
        <v>1479</v>
      </c>
      <c r="E383" s="2" t="s">
        <v>1693</v>
      </c>
      <c r="F383" s="2" t="s">
        <v>1693</v>
      </c>
      <c r="G383" s="5" t="str" cm="1">
        <f t="array" ref="G383">IFERROR(INDEX(City_Lookup!$B$2:$B$297,MATCH(TRUE,ISNUMBER(SEARCH(City_Lookup!$A$2:$A$297,$F383&amp;" "&amp;$E383)),0)),"Not Available")</f>
        <v>Dhankuta</v>
      </c>
      <c r="H383" s="5" t="str">
        <f>IFERROR(INDEX(City_Lookup!$E$2:$E$66,MATCH($G383,City_Lookup!$D$2:$D$66,0)),"Not Available")</f>
        <v>Koshi</v>
      </c>
      <c r="I383" s="2" t="s">
        <v>1259</v>
      </c>
      <c r="J383" s="5" t="s">
        <v>29</v>
      </c>
      <c r="K383" s="5">
        <v>30</v>
      </c>
      <c r="L383" s="2"/>
      <c r="M383" s="5">
        <f t="shared" si="37"/>
        <v>30</v>
      </c>
      <c r="N383" s="2" t="s">
        <v>2491</v>
      </c>
      <c r="O383" s="2">
        <v>1</v>
      </c>
      <c r="P383" s="2" t="s">
        <v>27</v>
      </c>
      <c r="Q383" s="2" t="s">
        <v>1694</v>
      </c>
      <c r="R383" s="2" t="s">
        <v>33</v>
      </c>
      <c r="S383" s="2" t="s">
        <v>27</v>
      </c>
      <c r="T383" s="2" t="s">
        <v>34</v>
      </c>
      <c r="U383" s="2" t="s">
        <v>35</v>
      </c>
      <c r="V383" s="2" t="s">
        <v>36</v>
      </c>
      <c r="W383" s="2" t="s">
        <v>37</v>
      </c>
      <c r="X383" s="6" t="s">
        <v>2486</v>
      </c>
      <c r="Y383" s="6" t="s">
        <v>2499</v>
      </c>
      <c r="Z383" t="str">
        <f t="shared" si="31"/>
        <v>97714153051</v>
      </c>
      <c r="AA383" t="str">
        <f t="shared" si="32"/>
        <v>14153051</v>
      </c>
      <c r="AB383" t="str">
        <f t="shared" si="33"/>
        <v>14153051</v>
      </c>
      <c r="AC383" t="str">
        <f t="shared" si="34"/>
        <v>+97714153051</v>
      </c>
      <c r="AD383" t="str">
        <f t="shared" si="35"/>
        <v>Landline</v>
      </c>
      <c r="AE383" t="str">
        <f t="shared" si="36"/>
        <v>Valid</v>
      </c>
    </row>
    <row r="384" spans="1:31" x14ac:dyDescent="0.3">
      <c r="A384" s="2" t="s">
        <v>1695</v>
      </c>
      <c r="B384" s="2" t="s">
        <v>1696</v>
      </c>
      <c r="C384" s="2" t="s">
        <v>1697</v>
      </c>
      <c r="D384" s="2" t="s">
        <v>1479</v>
      </c>
      <c r="E384" s="2" t="s">
        <v>1698</v>
      </c>
      <c r="F384" s="2" t="s">
        <v>1698</v>
      </c>
      <c r="G384" s="5" t="str" cm="1">
        <f t="array" ref="G384">IFERROR(INDEX(City_Lookup!$B$2:$B$297,MATCH(TRUE,ISNUMBER(SEARCH(City_Lookup!$A$2:$A$297,$F384&amp;" "&amp;$E384)),0)),"Not Available")</f>
        <v>Ilam</v>
      </c>
      <c r="H384" s="5" t="str">
        <f>IFERROR(INDEX(City_Lookup!$E$2:$E$66,MATCH($G384,City_Lookup!$D$2:$D$66,0)),"Not Available")</f>
        <v>Koshi</v>
      </c>
      <c r="I384" s="2" t="s">
        <v>1259</v>
      </c>
      <c r="J384" s="5" t="s">
        <v>29</v>
      </c>
      <c r="K384" s="5">
        <v>30</v>
      </c>
      <c r="L384" s="2"/>
      <c r="M384" s="5">
        <f t="shared" si="37"/>
        <v>30</v>
      </c>
      <c r="N384" s="2" t="s">
        <v>2491</v>
      </c>
      <c r="O384" s="2">
        <v>1</v>
      </c>
      <c r="P384" s="2" t="s">
        <v>27</v>
      </c>
      <c r="Q384" s="2" t="s">
        <v>1699</v>
      </c>
      <c r="R384" s="2" t="s">
        <v>33</v>
      </c>
      <c r="S384" s="2" t="s">
        <v>27</v>
      </c>
      <c r="T384" s="2" t="s">
        <v>34</v>
      </c>
      <c r="U384" s="2" t="s">
        <v>35</v>
      </c>
      <c r="V384" s="2" t="s">
        <v>36</v>
      </c>
      <c r="W384" s="2" t="s">
        <v>37</v>
      </c>
      <c r="X384" s="6" t="s">
        <v>2486</v>
      </c>
      <c r="Y384" s="6" t="s">
        <v>2499</v>
      </c>
      <c r="Z384" t="str">
        <f t="shared" si="31"/>
        <v>97714153051</v>
      </c>
      <c r="AA384" t="str">
        <f t="shared" si="32"/>
        <v>14153051</v>
      </c>
      <c r="AB384" t="str">
        <f t="shared" si="33"/>
        <v>14153051</v>
      </c>
      <c r="AC384" t="str">
        <f t="shared" si="34"/>
        <v>+97714153051</v>
      </c>
      <c r="AD384" t="str">
        <f t="shared" si="35"/>
        <v>Landline</v>
      </c>
      <c r="AE384" t="str">
        <f t="shared" si="36"/>
        <v>Valid</v>
      </c>
    </row>
    <row r="385" spans="1:31" x14ac:dyDescent="0.3">
      <c r="A385" s="2" t="s">
        <v>1700</v>
      </c>
      <c r="B385" s="2" t="s">
        <v>1701</v>
      </c>
      <c r="C385" s="2" t="s">
        <v>1702</v>
      </c>
      <c r="D385" s="2" t="s">
        <v>1479</v>
      </c>
      <c r="E385" s="2" t="s">
        <v>1703</v>
      </c>
      <c r="F385" s="2" t="s">
        <v>1703</v>
      </c>
      <c r="G385" s="5" t="str" cm="1">
        <f t="array" ref="G385">IFERROR(INDEX(City_Lookup!$B$2:$B$297,MATCH(TRUE,ISNUMBER(SEARCH(City_Lookup!$A$2:$A$297,$F385&amp;" "&amp;$E385)),0)),"Not Available")</f>
        <v>Udayapur</v>
      </c>
      <c r="H385" s="5" t="str">
        <f>IFERROR(INDEX(City_Lookup!$E$2:$E$66,MATCH($G385,City_Lookup!$D$2:$D$66,0)),"Not Available")</f>
        <v>Koshi</v>
      </c>
      <c r="I385" s="2" t="s">
        <v>1259</v>
      </c>
      <c r="J385" s="5" t="s">
        <v>29</v>
      </c>
      <c r="K385" s="5">
        <v>30</v>
      </c>
      <c r="L385" s="2"/>
      <c r="M385" s="5">
        <f t="shared" si="37"/>
        <v>30</v>
      </c>
      <c r="N385" s="2" t="s">
        <v>2491</v>
      </c>
      <c r="O385" s="2">
        <v>1</v>
      </c>
      <c r="P385" s="2" t="s">
        <v>27</v>
      </c>
      <c r="Q385" s="2" t="s">
        <v>1704</v>
      </c>
      <c r="R385" s="2" t="s">
        <v>33</v>
      </c>
      <c r="S385" s="2" t="s">
        <v>27</v>
      </c>
      <c r="T385" s="2" t="s">
        <v>34</v>
      </c>
      <c r="U385" s="2" t="s">
        <v>35</v>
      </c>
      <c r="V385" s="2" t="s">
        <v>36</v>
      </c>
      <c r="W385" s="2" t="s">
        <v>37</v>
      </c>
      <c r="X385" s="6" t="s">
        <v>2486</v>
      </c>
      <c r="Y385" s="6" t="s">
        <v>2499</v>
      </c>
      <c r="Z385" t="str">
        <f t="shared" si="31"/>
        <v>97714153051</v>
      </c>
      <c r="AA385" t="str">
        <f t="shared" si="32"/>
        <v>14153051</v>
      </c>
      <c r="AB385" t="str">
        <f t="shared" si="33"/>
        <v>14153051</v>
      </c>
      <c r="AC385" t="str">
        <f t="shared" si="34"/>
        <v>+97714153051</v>
      </c>
      <c r="AD385" t="str">
        <f t="shared" si="35"/>
        <v>Landline</v>
      </c>
      <c r="AE385" t="str">
        <f t="shared" si="36"/>
        <v>Valid</v>
      </c>
    </row>
    <row r="386" spans="1:31" x14ac:dyDescent="0.3">
      <c r="A386" s="2" t="s">
        <v>1705</v>
      </c>
      <c r="B386" s="2" t="s">
        <v>1706</v>
      </c>
      <c r="C386" s="2" t="s">
        <v>1707</v>
      </c>
      <c r="D386" s="2" t="s">
        <v>1479</v>
      </c>
      <c r="E386" s="2" t="s">
        <v>1708</v>
      </c>
      <c r="F386" s="2" t="s">
        <v>1708</v>
      </c>
      <c r="G386" s="5" t="str" cm="1">
        <f t="array" ref="G386">IFERROR(INDEX(City_Lookup!$B$2:$B$297,MATCH(TRUE,ISNUMBER(SEARCH(City_Lookup!$A$2:$A$297,$F386&amp;" "&amp;$E386)),0)),"Not Available")</f>
        <v>Morang</v>
      </c>
      <c r="H386" s="5" t="str">
        <f>IFERROR(INDEX(City_Lookup!$E$2:$E$66,MATCH($G386,City_Lookup!$D$2:$D$66,0)),"Not Available")</f>
        <v>Koshi</v>
      </c>
      <c r="I386" s="2" t="s">
        <v>1259</v>
      </c>
      <c r="J386" s="5" t="s">
        <v>29</v>
      </c>
      <c r="K386" s="5">
        <v>30</v>
      </c>
      <c r="L386" s="2"/>
      <c r="M386" s="5">
        <f t="shared" ref="M386:M417" si="38">IF($K386&lt;&gt;"",$K386,$L386)</f>
        <v>30</v>
      </c>
      <c r="N386" s="2" t="s">
        <v>2491</v>
      </c>
      <c r="O386" s="2">
        <v>1</v>
      </c>
      <c r="P386" s="2" t="s">
        <v>27</v>
      </c>
      <c r="Q386" s="2" t="s">
        <v>1709</v>
      </c>
      <c r="R386" s="2" t="s">
        <v>33</v>
      </c>
      <c r="S386" s="2" t="s">
        <v>27</v>
      </c>
      <c r="T386" s="2" t="s">
        <v>34</v>
      </c>
      <c r="U386" s="2" t="s">
        <v>35</v>
      </c>
      <c r="V386" s="2" t="s">
        <v>36</v>
      </c>
      <c r="W386" s="2" t="s">
        <v>37</v>
      </c>
      <c r="X386" s="6" t="s">
        <v>2486</v>
      </c>
      <c r="Y386" s="6" t="s">
        <v>2499</v>
      </c>
      <c r="Z386" t="str">
        <f t="shared" si="31"/>
        <v>97714153051</v>
      </c>
      <c r="AA386" t="str">
        <f t="shared" si="32"/>
        <v>14153051</v>
      </c>
      <c r="AB386" t="str">
        <f t="shared" si="33"/>
        <v>14153051</v>
      </c>
      <c r="AC386" t="str">
        <f t="shared" si="34"/>
        <v>+97714153051</v>
      </c>
      <c r="AD386" t="str">
        <f t="shared" si="35"/>
        <v>Landline</v>
      </c>
      <c r="AE386" t="str">
        <f t="shared" si="36"/>
        <v>Valid</v>
      </c>
    </row>
    <row r="387" spans="1:31" x14ac:dyDescent="0.3">
      <c r="A387" s="2" t="s">
        <v>1710</v>
      </c>
      <c r="B387" s="2" t="s">
        <v>1711</v>
      </c>
      <c r="C387" s="2" t="s">
        <v>1712</v>
      </c>
      <c r="D387" s="2" t="s">
        <v>1479</v>
      </c>
      <c r="E387" s="2" t="s">
        <v>1713</v>
      </c>
      <c r="F387" s="2" t="s">
        <v>1713</v>
      </c>
      <c r="G387" s="5" t="str" cm="1">
        <f t="array" ref="G387">IFERROR(INDEX(City_Lookup!$B$2:$B$297,MATCH(TRUE,ISNUMBER(SEARCH(City_Lookup!$A$2:$A$297,$F387&amp;" "&amp;$E387)),0)),"Not Available")</f>
        <v>Ilam</v>
      </c>
      <c r="H387" s="5" t="str">
        <f>IFERROR(INDEX(City_Lookup!$E$2:$E$66,MATCH($G387,City_Lookup!$D$2:$D$66,0)),"Not Available")</f>
        <v>Koshi</v>
      </c>
      <c r="I387" s="2" t="s">
        <v>1259</v>
      </c>
      <c r="J387" s="5" t="s">
        <v>29</v>
      </c>
      <c r="K387" s="5">
        <v>30</v>
      </c>
      <c r="L387" s="2"/>
      <c r="M387" s="5">
        <f t="shared" si="38"/>
        <v>30</v>
      </c>
      <c r="N387" s="2" t="s">
        <v>2491</v>
      </c>
      <c r="O387" s="2">
        <v>1</v>
      </c>
      <c r="P387" s="2" t="s">
        <v>27</v>
      </c>
      <c r="Q387" s="2" t="s">
        <v>1714</v>
      </c>
      <c r="R387" s="2" t="s">
        <v>33</v>
      </c>
      <c r="S387" s="2" t="s">
        <v>27</v>
      </c>
      <c r="T387" s="2" t="s">
        <v>34</v>
      </c>
      <c r="U387" s="2" t="s">
        <v>35</v>
      </c>
      <c r="V387" s="2" t="s">
        <v>36</v>
      </c>
      <c r="W387" s="2" t="s">
        <v>37</v>
      </c>
      <c r="X387" s="6" t="s">
        <v>2486</v>
      </c>
      <c r="Y387" s="6" t="s">
        <v>2499</v>
      </c>
      <c r="Z387" t="str">
        <f t="shared" ref="Z387:Z450" si="39">IF($X387="Not Available","",TRIM(LEFT(SUBSTITUTE(SUBSTITUTE(SUBSTITUTE(SUBSTITUTE(SUBSTITUTE(SUBSTITUTE(SUBSTITUTE($X387," ",""),"-",""),"(",""),")",""),".",""),"+","")&amp;"/","/",REPT(" ",60)),60)))</f>
        <v>97714153051</v>
      </c>
      <c r="AA387" t="str">
        <f t="shared" ref="AA387:AA450" si="40">IF($Z387="","",IF(ISNUMBER(-$Z387),IF(LEFT($Z387,3)="977",MID($Z387,4,20),$Z387),IF(ISNUMBER(SEARCH("977",$Z387)),MID($Z387,SEARCH("977",$Z387)+3,20),$Z387)))</f>
        <v>14153051</v>
      </c>
      <c r="AB387" t="str">
        <f t="shared" ref="AB387:AB450" si="41">IF($AA387="","",IF(LEFT($AA387,1)="0",MID($AA387,2,20),$AA387))</f>
        <v>14153051</v>
      </c>
      <c r="AC387" t="str">
        <f t="shared" ref="AC387:AC450" si="42">IF($AB387="","Not Available","+977"&amp;$AB387)</f>
        <v>+97714153051</v>
      </c>
      <c r="AD387" t="str">
        <f t="shared" ref="AD387:AD450" si="43">IF($AB387="","Not Available",IF(AND(LEN($AB387)=10,LEFT($AB387,1)="9"),"Mobile",IF(AND(LEN($AB387)&gt;=8,LEN($AB387)&lt;=9),IF(ISNUMBER(SEARCH("/",$X387)),"Landline (multiple lines)","Landline"),"Unrecognised")))</f>
        <v>Landline</v>
      </c>
      <c r="AE387" t="str">
        <f t="shared" ref="AE387:AE450" si="44">IF($AB387="","Not Available",IF(AND(ISNUMBER(-$AB387),$AD387&lt;&gt;"Unrecognised"),"Valid","Check format"))</f>
        <v>Valid</v>
      </c>
    </row>
    <row r="388" spans="1:31" x14ac:dyDescent="0.3">
      <c r="A388" s="2" t="s">
        <v>1715</v>
      </c>
      <c r="B388" s="2" t="s">
        <v>1716</v>
      </c>
      <c r="C388" s="2" t="s">
        <v>1717</v>
      </c>
      <c r="D388" s="2" t="s">
        <v>1473</v>
      </c>
      <c r="E388" s="2" t="s">
        <v>1718</v>
      </c>
      <c r="F388" s="2" t="s">
        <v>1718</v>
      </c>
      <c r="G388" s="5" t="str" cm="1">
        <f t="array" ref="G388">IFERROR(INDEX(City_Lookup!$B$2:$B$297,MATCH(TRUE,ISNUMBER(SEARCH(City_Lookup!$A$2:$A$297,$F388&amp;" "&amp;$E388)),0)),"Not Available")</f>
        <v>Sunsari</v>
      </c>
      <c r="H388" s="5" t="str">
        <f>IFERROR(INDEX(City_Lookup!$E$2:$E$66,MATCH($G388,City_Lookup!$D$2:$D$66,0)),"Not Available")</f>
        <v>Koshi</v>
      </c>
      <c r="I388" s="2" t="s">
        <v>1259</v>
      </c>
      <c r="J388" s="5" t="s">
        <v>29</v>
      </c>
      <c r="K388" s="5">
        <v>30</v>
      </c>
      <c r="L388" s="2"/>
      <c r="M388" s="5">
        <f t="shared" si="38"/>
        <v>30</v>
      </c>
      <c r="N388" s="2" t="s">
        <v>2491</v>
      </c>
      <c r="O388" s="2">
        <v>1</v>
      </c>
      <c r="P388" s="2" t="s">
        <v>27</v>
      </c>
      <c r="Q388" s="2" t="s">
        <v>1719</v>
      </c>
      <c r="R388" s="2" t="s">
        <v>33</v>
      </c>
      <c r="S388" s="2" t="s">
        <v>27</v>
      </c>
      <c r="T388" s="2" t="s">
        <v>34</v>
      </c>
      <c r="U388" s="2" t="s">
        <v>35</v>
      </c>
      <c r="V388" s="2" t="s">
        <v>36</v>
      </c>
      <c r="W388" s="2" t="s">
        <v>37</v>
      </c>
      <c r="X388" s="6" t="s">
        <v>2486</v>
      </c>
      <c r="Y388" s="6" t="s">
        <v>2499</v>
      </c>
      <c r="Z388" t="str">
        <f t="shared" si="39"/>
        <v>97714153051</v>
      </c>
      <c r="AA388" t="str">
        <f t="shared" si="40"/>
        <v>14153051</v>
      </c>
      <c r="AB388" t="str">
        <f t="shared" si="41"/>
        <v>14153051</v>
      </c>
      <c r="AC388" t="str">
        <f t="shared" si="42"/>
        <v>+97714153051</v>
      </c>
      <c r="AD388" t="str">
        <f t="shared" si="43"/>
        <v>Landline</v>
      </c>
      <c r="AE388" t="str">
        <f t="shared" si="44"/>
        <v>Valid</v>
      </c>
    </row>
    <row r="389" spans="1:31" x14ac:dyDescent="0.3">
      <c r="A389" s="2" t="s">
        <v>1720</v>
      </c>
      <c r="B389" s="2" t="s">
        <v>1721</v>
      </c>
      <c r="C389" s="2" t="s">
        <v>1722</v>
      </c>
      <c r="D389" s="2" t="s">
        <v>1473</v>
      </c>
      <c r="E389" s="2" t="s">
        <v>1723</v>
      </c>
      <c r="F389" s="2" t="s">
        <v>1723</v>
      </c>
      <c r="G389" s="5" t="str" cm="1">
        <f t="array" ref="G389">IFERROR(INDEX(City_Lookup!$B$2:$B$297,MATCH(TRUE,ISNUMBER(SEARCH(City_Lookup!$A$2:$A$297,$F389&amp;" "&amp;$E389)),0)),"Not Available")</f>
        <v>Sunsari</v>
      </c>
      <c r="H389" s="5" t="str">
        <f>IFERROR(INDEX(City_Lookup!$E$2:$E$66,MATCH($G389,City_Lookup!$D$2:$D$66,0)),"Not Available")</f>
        <v>Koshi</v>
      </c>
      <c r="I389" s="2" t="s">
        <v>1259</v>
      </c>
      <c r="J389" s="5" t="s">
        <v>29</v>
      </c>
      <c r="K389" s="5">
        <v>30</v>
      </c>
      <c r="L389" s="2"/>
      <c r="M389" s="5">
        <f t="shared" si="38"/>
        <v>30</v>
      </c>
      <c r="N389" s="2" t="s">
        <v>2491</v>
      </c>
      <c r="O389" s="2">
        <v>1</v>
      </c>
      <c r="P389" s="2" t="s">
        <v>27</v>
      </c>
      <c r="Q389" s="2" t="s">
        <v>1724</v>
      </c>
      <c r="R389" s="2" t="s">
        <v>33</v>
      </c>
      <c r="S389" s="2" t="s">
        <v>27</v>
      </c>
      <c r="T389" s="2" t="s">
        <v>34</v>
      </c>
      <c r="U389" s="2" t="s">
        <v>35</v>
      </c>
      <c r="V389" s="2" t="s">
        <v>36</v>
      </c>
      <c r="W389" s="2" t="s">
        <v>37</v>
      </c>
      <c r="X389" s="6" t="s">
        <v>2486</v>
      </c>
      <c r="Y389" s="6" t="s">
        <v>2499</v>
      </c>
      <c r="Z389" t="str">
        <f t="shared" si="39"/>
        <v>97714153051</v>
      </c>
      <c r="AA389" t="str">
        <f t="shared" si="40"/>
        <v>14153051</v>
      </c>
      <c r="AB389" t="str">
        <f t="shared" si="41"/>
        <v>14153051</v>
      </c>
      <c r="AC389" t="str">
        <f t="shared" si="42"/>
        <v>+97714153051</v>
      </c>
      <c r="AD389" t="str">
        <f t="shared" si="43"/>
        <v>Landline</v>
      </c>
      <c r="AE389" t="str">
        <f t="shared" si="44"/>
        <v>Valid</v>
      </c>
    </row>
    <row r="390" spans="1:31" x14ac:dyDescent="0.3">
      <c r="A390" s="2" t="s">
        <v>1725</v>
      </c>
      <c r="B390" s="2" t="s">
        <v>1726</v>
      </c>
      <c r="C390" s="2" t="s">
        <v>1727</v>
      </c>
      <c r="D390" s="2" t="s">
        <v>1473</v>
      </c>
      <c r="E390" s="2" t="s">
        <v>1728</v>
      </c>
      <c r="F390" s="2" t="s">
        <v>1728</v>
      </c>
      <c r="G390" s="5" t="str" cm="1">
        <f t="array" ref="G390">IFERROR(INDEX(City_Lookup!$B$2:$B$297,MATCH(TRUE,ISNUMBER(SEARCH(City_Lookup!$A$2:$A$297,$F390&amp;" "&amp;$E390)),0)),"Not Available")</f>
        <v>Sunsari</v>
      </c>
      <c r="H390" s="5" t="str">
        <f>IFERROR(INDEX(City_Lookup!$E$2:$E$66,MATCH($G390,City_Lookup!$D$2:$D$66,0)),"Not Available")</f>
        <v>Koshi</v>
      </c>
      <c r="I390" s="2" t="s">
        <v>1259</v>
      </c>
      <c r="J390" s="5" t="s">
        <v>29</v>
      </c>
      <c r="K390" s="5">
        <v>30</v>
      </c>
      <c r="L390" s="2"/>
      <c r="M390" s="5">
        <f t="shared" si="38"/>
        <v>30</v>
      </c>
      <c r="N390" s="2" t="s">
        <v>2491</v>
      </c>
      <c r="O390" s="2">
        <v>1</v>
      </c>
      <c r="P390" s="2" t="s">
        <v>27</v>
      </c>
      <c r="Q390" s="2" t="s">
        <v>1729</v>
      </c>
      <c r="R390" s="2" t="s">
        <v>33</v>
      </c>
      <c r="S390" s="2" t="s">
        <v>27</v>
      </c>
      <c r="T390" s="2" t="s">
        <v>34</v>
      </c>
      <c r="U390" s="2" t="s">
        <v>35</v>
      </c>
      <c r="V390" s="2" t="s">
        <v>36</v>
      </c>
      <c r="W390" s="2" t="s">
        <v>37</v>
      </c>
      <c r="X390" s="6" t="s">
        <v>2486</v>
      </c>
      <c r="Y390" s="6" t="s">
        <v>2499</v>
      </c>
      <c r="Z390" t="str">
        <f t="shared" si="39"/>
        <v>97714153051</v>
      </c>
      <c r="AA390" t="str">
        <f t="shared" si="40"/>
        <v>14153051</v>
      </c>
      <c r="AB390" t="str">
        <f t="shared" si="41"/>
        <v>14153051</v>
      </c>
      <c r="AC390" t="str">
        <f t="shared" si="42"/>
        <v>+97714153051</v>
      </c>
      <c r="AD390" t="str">
        <f t="shared" si="43"/>
        <v>Landline</v>
      </c>
      <c r="AE390" t="str">
        <f t="shared" si="44"/>
        <v>Valid</v>
      </c>
    </row>
    <row r="391" spans="1:31" x14ac:dyDescent="0.3">
      <c r="A391" s="2" t="s">
        <v>1730</v>
      </c>
      <c r="B391" s="2" t="s">
        <v>1731</v>
      </c>
      <c r="C391" s="2" t="s">
        <v>1732</v>
      </c>
      <c r="D391" s="2" t="s">
        <v>1479</v>
      </c>
      <c r="E391" s="2" t="s">
        <v>1733</v>
      </c>
      <c r="F391" s="2" t="s">
        <v>1733</v>
      </c>
      <c r="G391" s="5" t="str" cm="1">
        <f t="array" ref="G391">IFERROR(INDEX(City_Lookup!$B$2:$B$297,MATCH(TRUE,ISNUMBER(SEARCH(City_Lookup!$A$2:$A$297,$F391&amp;" "&amp;$E391)),0)),"Not Available")</f>
        <v>Sindhuli</v>
      </c>
      <c r="H391" s="5" t="str">
        <f>IFERROR(INDEX(City_Lookup!$E$2:$E$66,MATCH($G391,City_Lookup!$D$2:$D$66,0)),"Not Available")</f>
        <v>Bagmati</v>
      </c>
      <c r="I391" s="2" t="s">
        <v>1259</v>
      </c>
      <c r="J391" s="5" t="s">
        <v>29</v>
      </c>
      <c r="K391" s="5">
        <v>30</v>
      </c>
      <c r="L391" s="2"/>
      <c r="M391" s="5">
        <f t="shared" si="38"/>
        <v>30</v>
      </c>
      <c r="N391" s="2" t="s">
        <v>2491</v>
      </c>
      <c r="O391" s="2">
        <v>1</v>
      </c>
      <c r="P391" s="2" t="s">
        <v>27</v>
      </c>
      <c r="Q391" s="2" t="s">
        <v>1734</v>
      </c>
      <c r="R391" s="2" t="s">
        <v>33</v>
      </c>
      <c r="S391" s="2" t="s">
        <v>27</v>
      </c>
      <c r="T391" s="2" t="s">
        <v>34</v>
      </c>
      <c r="U391" s="2" t="s">
        <v>35</v>
      </c>
      <c r="V391" s="2" t="s">
        <v>36</v>
      </c>
      <c r="W391" s="2" t="s">
        <v>37</v>
      </c>
      <c r="X391" s="6" t="s">
        <v>2486</v>
      </c>
      <c r="Y391" s="6" t="s">
        <v>2499</v>
      </c>
      <c r="Z391" t="str">
        <f t="shared" si="39"/>
        <v>97714153051</v>
      </c>
      <c r="AA391" t="str">
        <f t="shared" si="40"/>
        <v>14153051</v>
      </c>
      <c r="AB391" t="str">
        <f t="shared" si="41"/>
        <v>14153051</v>
      </c>
      <c r="AC391" t="str">
        <f t="shared" si="42"/>
        <v>+97714153051</v>
      </c>
      <c r="AD391" t="str">
        <f t="shared" si="43"/>
        <v>Landline</v>
      </c>
      <c r="AE391" t="str">
        <f t="shared" si="44"/>
        <v>Valid</v>
      </c>
    </row>
    <row r="392" spans="1:31" x14ac:dyDescent="0.3">
      <c r="A392" s="2" t="s">
        <v>1735</v>
      </c>
      <c r="B392" s="2" t="s">
        <v>1736</v>
      </c>
      <c r="C392" s="2" t="s">
        <v>1737</v>
      </c>
      <c r="D392" s="2" t="s">
        <v>1473</v>
      </c>
      <c r="E392" s="2" t="s">
        <v>1738</v>
      </c>
      <c r="F392" s="2" t="s">
        <v>1738</v>
      </c>
      <c r="G392" s="5" t="str" cm="1">
        <f t="array" ref="G392">IFERROR(INDEX(City_Lookup!$B$2:$B$297,MATCH(TRUE,ISNUMBER(SEARCH(City_Lookup!$A$2:$A$297,$F392&amp;" "&amp;$E392)),0)),"Not Available")</f>
        <v>Morang</v>
      </c>
      <c r="H392" s="5" t="str">
        <f>IFERROR(INDEX(City_Lookup!$E$2:$E$66,MATCH($G392,City_Lookup!$D$2:$D$66,0)),"Not Available")</f>
        <v>Koshi</v>
      </c>
      <c r="I392" s="2" t="s">
        <v>1259</v>
      </c>
      <c r="J392" s="5" t="s">
        <v>29</v>
      </c>
      <c r="K392" s="5">
        <v>30</v>
      </c>
      <c r="L392" s="2"/>
      <c r="M392" s="5">
        <f t="shared" si="38"/>
        <v>30</v>
      </c>
      <c r="N392" s="2" t="s">
        <v>2491</v>
      </c>
      <c r="O392" s="2">
        <v>1</v>
      </c>
      <c r="P392" s="2" t="s">
        <v>27</v>
      </c>
      <c r="Q392" s="2" t="s">
        <v>1739</v>
      </c>
      <c r="R392" s="2" t="s">
        <v>33</v>
      </c>
      <c r="S392" s="2" t="s">
        <v>27</v>
      </c>
      <c r="T392" s="2" t="s">
        <v>34</v>
      </c>
      <c r="U392" s="2" t="s">
        <v>35</v>
      </c>
      <c r="V392" s="2" t="s">
        <v>36</v>
      </c>
      <c r="W392" s="2" t="s">
        <v>37</v>
      </c>
      <c r="X392" s="6" t="s">
        <v>2486</v>
      </c>
      <c r="Y392" s="6" t="s">
        <v>2499</v>
      </c>
      <c r="Z392" t="str">
        <f t="shared" si="39"/>
        <v>97714153051</v>
      </c>
      <c r="AA392" t="str">
        <f t="shared" si="40"/>
        <v>14153051</v>
      </c>
      <c r="AB392" t="str">
        <f t="shared" si="41"/>
        <v>14153051</v>
      </c>
      <c r="AC392" t="str">
        <f t="shared" si="42"/>
        <v>+97714153051</v>
      </c>
      <c r="AD392" t="str">
        <f t="shared" si="43"/>
        <v>Landline</v>
      </c>
      <c r="AE392" t="str">
        <f t="shared" si="44"/>
        <v>Valid</v>
      </c>
    </row>
    <row r="393" spans="1:31" x14ac:dyDescent="0.3">
      <c r="A393" s="2" t="s">
        <v>1740</v>
      </c>
      <c r="B393" s="2" t="s">
        <v>1741</v>
      </c>
      <c r="C393" s="2" t="s">
        <v>1742</v>
      </c>
      <c r="D393" s="2" t="s">
        <v>1479</v>
      </c>
      <c r="E393" s="2" t="s">
        <v>1743</v>
      </c>
      <c r="F393" s="2" t="s">
        <v>1743</v>
      </c>
      <c r="G393" s="5" t="str" cm="1">
        <f t="array" ref="G393">IFERROR(INDEX(City_Lookup!$B$2:$B$297,MATCH(TRUE,ISNUMBER(SEARCH(City_Lookup!$A$2:$A$297,$F393&amp;" "&amp;$E393)),0)),"Not Available")</f>
        <v>Panchthar</v>
      </c>
      <c r="H393" s="5" t="str">
        <f>IFERROR(INDEX(City_Lookup!$E$2:$E$66,MATCH($G393,City_Lookup!$D$2:$D$66,0)),"Not Available")</f>
        <v>Koshi</v>
      </c>
      <c r="I393" s="2" t="s">
        <v>1259</v>
      </c>
      <c r="J393" s="5" t="s">
        <v>29</v>
      </c>
      <c r="K393" s="5">
        <v>30</v>
      </c>
      <c r="L393" s="2"/>
      <c r="M393" s="5">
        <f t="shared" si="38"/>
        <v>30</v>
      </c>
      <c r="N393" s="2" t="s">
        <v>2491</v>
      </c>
      <c r="O393" s="2">
        <v>1</v>
      </c>
      <c r="P393" s="2" t="s">
        <v>27</v>
      </c>
      <c r="Q393" s="2" t="s">
        <v>1744</v>
      </c>
      <c r="R393" s="2" t="s">
        <v>33</v>
      </c>
      <c r="S393" s="2" t="s">
        <v>27</v>
      </c>
      <c r="T393" s="2" t="s">
        <v>34</v>
      </c>
      <c r="U393" s="2" t="s">
        <v>35</v>
      </c>
      <c r="V393" s="2" t="s">
        <v>36</v>
      </c>
      <c r="W393" s="2" t="s">
        <v>37</v>
      </c>
      <c r="X393" s="6" t="s">
        <v>2486</v>
      </c>
      <c r="Y393" s="6" t="s">
        <v>2499</v>
      </c>
      <c r="Z393" t="str">
        <f t="shared" si="39"/>
        <v>97714153051</v>
      </c>
      <c r="AA393" t="str">
        <f t="shared" si="40"/>
        <v>14153051</v>
      </c>
      <c r="AB393" t="str">
        <f t="shared" si="41"/>
        <v>14153051</v>
      </c>
      <c r="AC393" t="str">
        <f t="shared" si="42"/>
        <v>+97714153051</v>
      </c>
      <c r="AD393" t="str">
        <f t="shared" si="43"/>
        <v>Landline</v>
      </c>
      <c r="AE393" t="str">
        <f t="shared" si="44"/>
        <v>Valid</v>
      </c>
    </row>
    <row r="394" spans="1:31" x14ac:dyDescent="0.3">
      <c r="A394" s="2" t="s">
        <v>1745</v>
      </c>
      <c r="B394" s="2" t="s">
        <v>1746</v>
      </c>
      <c r="C394" s="2" t="s">
        <v>1747</v>
      </c>
      <c r="D394" s="2" t="s">
        <v>1473</v>
      </c>
      <c r="E394" s="2" t="s">
        <v>1748</v>
      </c>
      <c r="F394" s="2" t="s">
        <v>1748</v>
      </c>
      <c r="G394" s="5" t="str" cm="1">
        <f t="array" ref="G394">IFERROR(INDEX(City_Lookup!$B$2:$B$297,MATCH(TRUE,ISNUMBER(SEARCH(City_Lookup!$A$2:$A$297,$F394&amp;" "&amp;$E394)),0)),"Not Available")</f>
        <v>Jhapa</v>
      </c>
      <c r="H394" s="5" t="str">
        <f>IFERROR(INDEX(City_Lookup!$E$2:$E$66,MATCH($G394,City_Lookup!$D$2:$D$66,0)),"Not Available")</f>
        <v>Koshi</v>
      </c>
      <c r="I394" s="2" t="s">
        <v>1259</v>
      </c>
      <c r="J394" s="5" t="s">
        <v>29</v>
      </c>
      <c r="K394" s="5">
        <v>30</v>
      </c>
      <c r="L394" s="2"/>
      <c r="M394" s="5">
        <f t="shared" si="38"/>
        <v>30</v>
      </c>
      <c r="N394" s="2" t="s">
        <v>2491</v>
      </c>
      <c r="O394" s="2">
        <v>1</v>
      </c>
      <c r="P394" s="2" t="s">
        <v>27</v>
      </c>
      <c r="Q394" s="2" t="s">
        <v>1749</v>
      </c>
      <c r="R394" s="2" t="s">
        <v>33</v>
      </c>
      <c r="S394" s="2" t="s">
        <v>27</v>
      </c>
      <c r="T394" s="2" t="s">
        <v>34</v>
      </c>
      <c r="U394" s="2" t="s">
        <v>35</v>
      </c>
      <c r="V394" s="2" t="s">
        <v>36</v>
      </c>
      <c r="W394" s="2" t="s">
        <v>37</v>
      </c>
      <c r="X394" s="6" t="s">
        <v>2486</v>
      </c>
      <c r="Y394" s="6" t="s">
        <v>2499</v>
      </c>
      <c r="Z394" t="str">
        <f t="shared" si="39"/>
        <v>97714153051</v>
      </c>
      <c r="AA394" t="str">
        <f t="shared" si="40"/>
        <v>14153051</v>
      </c>
      <c r="AB394" t="str">
        <f t="shared" si="41"/>
        <v>14153051</v>
      </c>
      <c r="AC394" t="str">
        <f t="shared" si="42"/>
        <v>+97714153051</v>
      </c>
      <c r="AD394" t="str">
        <f t="shared" si="43"/>
        <v>Landline</v>
      </c>
      <c r="AE394" t="str">
        <f t="shared" si="44"/>
        <v>Valid</v>
      </c>
    </row>
    <row r="395" spans="1:31" x14ac:dyDescent="0.3">
      <c r="A395" s="2" t="s">
        <v>1750</v>
      </c>
      <c r="B395" s="2" t="s">
        <v>1751</v>
      </c>
      <c r="C395" s="2" t="s">
        <v>1752</v>
      </c>
      <c r="D395" s="2" t="s">
        <v>1479</v>
      </c>
      <c r="E395" s="2" t="s">
        <v>1753</v>
      </c>
      <c r="F395" s="2" t="s">
        <v>1753</v>
      </c>
      <c r="G395" s="5" t="str" cm="1">
        <f t="array" ref="G395">IFERROR(INDEX(City_Lookup!$B$2:$B$297,MATCH(TRUE,ISNUMBER(SEARCH(City_Lookup!$A$2:$A$297,$F395&amp;" "&amp;$E395)),0)),"Not Available")</f>
        <v>Arghakhanchi</v>
      </c>
      <c r="H395" s="5" t="str">
        <f>IFERROR(INDEX(City_Lookup!$E$2:$E$66,MATCH($G395,City_Lookup!$D$2:$D$66,0)),"Not Available")</f>
        <v>Lumbini</v>
      </c>
      <c r="I395" s="2" t="s">
        <v>1259</v>
      </c>
      <c r="J395" s="5" t="s">
        <v>29</v>
      </c>
      <c r="K395" s="5">
        <v>30</v>
      </c>
      <c r="L395" s="2"/>
      <c r="M395" s="5">
        <f t="shared" si="38"/>
        <v>30</v>
      </c>
      <c r="N395" s="2" t="s">
        <v>2491</v>
      </c>
      <c r="O395" s="2">
        <v>1</v>
      </c>
      <c r="P395" s="2" t="s">
        <v>27</v>
      </c>
      <c r="Q395" s="2" t="s">
        <v>1754</v>
      </c>
      <c r="R395" s="2" t="s">
        <v>33</v>
      </c>
      <c r="S395" s="2" t="s">
        <v>27</v>
      </c>
      <c r="T395" s="2" t="s">
        <v>34</v>
      </c>
      <c r="U395" s="2" t="s">
        <v>35</v>
      </c>
      <c r="V395" s="2" t="s">
        <v>36</v>
      </c>
      <c r="W395" s="2" t="s">
        <v>37</v>
      </c>
      <c r="X395" s="6" t="s">
        <v>2486</v>
      </c>
      <c r="Y395" s="6" t="s">
        <v>2499</v>
      </c>
      <c r="Z395" t="str">
        <f t="shared" si="39"/>
        <v>97714153051</v>
      </c>
      <c r="AA395" t="str">
        <f t="shared" si="40"/>
        <v>14153051</v>
      </c>
      <c r="AB395" t="str">
        <f t="shared" si="41"/>
        <v>14153051</v>
      </c>
      <c r="AC395" t="str">
        <f t="shared" si="42"/>
        <v>+97714153051</v>
      </c>
      <c r="AD395" t="str">
        <f t="shared" si="43"/>
        <v>Landline</v>
      </c>
      <c r="AE395" t="str">
        <f t="shared" si="44"/>
        <v>Valid</v>
      </c>
    </row>
    <row r="396" spans="1:31" x14ac:dyDescent="0.3">
      <c r="A396" s="2" t="s">
        <v>1755</v>
      </c>
      <c r="B396" s="2" t="s">
        <v>1756</v>
      </c>
      <c r="C396" s="2" t="s">
        <v>1757</v>
      </c>
      <c r="D396" s="2" t="s">
        <v>1473</v>
      </c>
      <c r="E396" s="2" t="s">
        <v>1758</v>
      </c>
      <c r="F396" s="2" t="s">
        <v>1758</v>
      </c>
      <c r="G396" s="5" t="str" cm="1">
        <f t="array" ref="G396">IFERROR(INDEX(City_Lookup!$B$2:$B$297,MATCH(TRUE,ISNUMBER(SEARCH(City_Lookup!$A$2:$A$297,$F396&amp;" "&amp;$E396)),0)),"Not Available")</f>
        <v>Rupandehi</v>
      </c>
      <c r="H396" s="5" t="str">
        <f>IFERROR(INDEX(City_Lookup!$E$2:$E$66,MATCH($G396,City_Lookup!$D$2:$D$66,0)),"Not Available")</f>
        <v>Lumbini</v>
      </c>
      <c r="I396" s="2" t="s">
        <v>1259</v>
      </c>
      <c r="J396" s="5" t="s">
        <v>29</v>
      </c>
      <c r="K396" s="5">
        <v>30</v>
      </c>
      <c r="L396" s="2"/>
      <c r="M396" s="5">
        <f t="shared" si="38"/>
        <v>30</v>
      </c>
      <c r="N396" s="2" t="s">
        <v>2491</v>
      </c>
      <c r="O396" s="2">
        <v>1</v>
      </c>
      <c r="P396" s="2" t="s">
        <v>27</v>
      </c>
      <c r="Q396" s="2" t="s">
        <v>1759</v>
      </c>
      <c r="R396" s="2" t="s">
        <v>33</v>
      </c>
      <c r="S396" s="2" t="s">
        <v>27</v>
      </c>
      <c r="T396" s="2" t="s">
        <v>34</v>
      </c>
      <c r="U396" s="2" t="s">
        <v>35</v>
      </c>
      <c r="V396" s="2" t="s">
        <v>36</v>
      </c>
      <c r="W396" s="2" t="s">
        <v>37</v>
      </c>
      <c r="X396" s="6" t="s">
        <v>2486</v>
      </c>
      <c r="Y396" s="6" t="s">
        <v>2499</v>
      </c>
      <c r="Z396" t="str">
        <f t="shared" si="39"/>
        <v>97714153051</v>
      </c>
      <c r="AA396" t="str">
        <f t="shared" si="40"/>
        <v>14153051</v>
      </c>
      <c r="AB396" t="str">
        <f t="shared" si="41"/>
        <v>14153051</v>
      </c>
      <c r="AC396" t="str">
        <f t="shared" si="42"/>
        <v>+97714153051</v>
      </c>
      <c r="AD396" t="str">
        <f t="shared" si="43"/>
        <v>Landline</v>
      </c>
      <c r="AE396" t="str">
        <f t="shared" si="44"/>
        <v>Valid</v>
      </c>
    </row>
    <row r="397" spans="1:31" x14ac:dyDescent="0.3">
      <c r="A397" s="2" t="s">
        <v>1760</v>
      </c>
      <c r="B397" s="2" t="s">
        <v>1761</v>
      </c>
      <c r="C397" s="2" t="s">
        <v>1762</v>
      </c>
      <c r="D397" s="2" t="s">
        <v>1473</v>
      </c>
      <c r="E397" s="2" t="s">
        <v>1763</v>
      </c>
      <c r="F397" s="2" t="s">
        <v>1763</v>
      </c>
      <c r="G397" s="5" t="str" cm="1">
        <f t="array" ref="G397">IFERROR(INDEX(City_Lookup!$B$2:$B$297,MATCH(TRUE,ISNUMBER(SEARCH(City_Lookup!$A$2:$A$297,$F397&amp;" "&amp;$E397)),0)),"Not Available")</f>
        <v>Rupandehi</v>
      </c>
      <c r="H397" s="5" t="str">
        <f>IFERROR(INDEX(City_Lookup!$E$2:$E$66,MATCH($G397,City_Lookup!$D$2:$D$66,0)),"Not Available")</f>
        <v>Lumbini</v>
      </c>
      <c r="I397" s="2" t="s">
        <v>1259</v>
      </c>
      <c r="J397" s="5" t="s">
        <v>29</v>
      </c>
      <c r="K397" s="5">
        <v>30</v>
      </c>
      <c r="L397" s="2"/>
      <c r="M397" s="5">
        <f t="shared" si="38"/>
        <v>30</v>
      </c>
      <c r="N397" s="2" t="s">
        <v>2492</v>
      </c>
      <c r="O397" s="2">
        <v>1</v>
      </c>
      <c r="P397" s="2" t="s">
        <v>27</v>
      </c>
      <c r="Q397" s="2" t="s">
        <v>1764</v>
      </c>
      <c r="R397" s="2" t="s">
        <v>33</v>
      </c>
      <c r="S397" s="2" t="s">
        <v>27</v>
      </c>
      <c r="T397" s="2" t="s">
        <v>34</v>
      </c>
      <c r="U397" s="2" t="s">
        <v>35</v>
      </c>
      <c r="V397" s="2" t="s">
        <v>36</v>
      </c>
      <c r="W397" s="2" t="s">
        <v>37</v>
      </c>
      <c r="X397" s="6" t="s">
        <v>2486</v>
      </c>
      <c r="Y397" s="6" t="s">
        <v>2499</v>
      </c>
      <c r="Z397" t="str">
        <f t="shared" si="39"/>
        <v>97714153051</v>
      </c>
      <c r="AA397" t="str">
        <f t="shared" si="40"/>
        <v>14153051</v>
      </c>
      <c r="AB397" t="str">
        <f t="shared" si="41"/>
        <v>14153051</v>
      </c>
      <c r="AC397" t="str">
        <f t="shared" si="42"/>
        <v>+97714153051</v>
      </c>
      <c r="AD397" t="str">
        <f t="shared" si="43"/>
        <v>Landline</v>
      </c>
      <c r="AE397" t="str">
        <f t="shared" si="44"/>
        <v>Valid</v>
      </c>
    </row>
    <row r="398" spans="1:31" x14ac:dyDescent="0.3">
      <c r="A398" s="2" t="s">
        <v>1765</v>
      </c>
      <c r="B398" s="2" t="s">
        <v>1766</v>
      </c>
      <c r="C398" s="2" t="s">
        <v>1767</v>
      </c>
      <c r="D398" s="2" t="s">
        <v>1479</v>
      </c>
      <c r="E398" s="2" t="s">
        <v>1768</v>
      </c>
      <c r="F398" s="2" t="s">
        <v>1768</v>
      </c>
      <c r="G398" s="5" t="str" cm="1">
        <f t="array" ref="G398">IFERROR(INDEX(City_Lookup!$B$2:$B$297,MATCH(TRUE,ISNUMBER(SEARCH(City_Lookup!$A$2:$A$297,$F398&amp;" "&amp;$E398)),0)),"Not Available")</f>
        <v>Rupandehi</v>
      </c>
      <c r="H398" s="5" t="str">
        <f>IFERROR(INDEX(City_Lookup!$E$2:$E$66,MATCH($G398,City_Lookup!$D$2:$D$66,0)),"Not Available")</f>
        <v>Lumbini</v>
      </c>
      <c r="I398" s="2" t="s">
        <v>1259</v>
      </c>
      <c r="J398" s="5" t="s">
        <v>29</v>
      </c>
      <c r="K398" s="5">
        <v>30</v>
      </c>
      <c r="L398" s="2"/>
      <c r="M398" s="5">
        <f t="shared" si="38"/>
        <v>30</v>
      </c>
      <c r="N398" s="2" t="s">
        <v>2491</v>
      </c>
      <c r="O398" s="2">
        <v>1</v>
      </c>
      <c r="P398" s="2" t="s">
        <v>27</v>
      </c>
      <c r="Q398" s="2" t="s">
        <v>1769</v>
      </c>
      <c r="R398" s="2" t="s">
        <v>33</v>
      </c>
      <c r="S398" s="2" t="s">
        <v>27</v>
      </c>
      <c r="T398" s="2" t="s">
        <v>34</v>
      </c>
      <c r="U398" s="2" t="s">
        <v>35</v>
      </c>
      <c r="V398" s="2" t="s">
        <v>36</v>
      </c>
      <c r="W398" s="2" t="s">
        <v>37</v>
      </c>
      <c r="X398" s="6" t="s">
        <v>2486</v>
      </c>
      <c r="Y398" s="6" t="s">
        <v>2499</v>
      </c>
      <c r="Z398" t="str">
        <f t="shared" si="39"/>
        <v>97714153051</v>
      </c>
      <c r="AA398" t="str">
        <f t="shared" si="40"/>
        <v>14153051</v>
      </c>
      <c r="AB398" t="str">
        <f t="shared" si="41"/>
        <v>14153051</v>
      </c>
      <c r="AC398" t="str">
        <f t="shared" si="42"/>
        <v>+97714153051</v>
      </c>
      <c r="AD398" t="str">
        <f t="shared" si="43"/>
        <v>Landline</v>
      </c>
      <c r="AE398" t="str">
        <f t="shared" si="44"/>
        <v>Valid</v>
      </c>
    </row>
    <row r="399" spans="1:31" x14ac:dyDescent="0.3">
      <c r="A399" s="2" t="s">
        <v>1770</v>
      </c>
      <c r="B399" s="2" t="s">
        <v>1771</v>
      </c>
      <c r="C399" s="2" t="s">
        <v>1772</v>
      </c>
      <c r="D399" s="2" t="s">
        <v>1473</v>
      </c>
      <c r="E399" s="2" t="s">
        <v>256</v>
      </c>
      <c r="F399" s="2" t="s">
        <v>256</v>
      </c>
      <c r="G399" s="5" t="str" cm="1">
        <f t="array" ref="G399">IFERROR(INDEX(City_Lookup!$B$2:$B$297,MATCH(TRUE,ISNUMBER(SEARCH(City_Lookup!$A$2:$A$297,$F399&amp;" "&amp;$E399)),0)),"Not Available")</f>
        <v>Rupandehi</v>
      </c>
      <c r="H399" s="5" t="str">
        <f>IFERROR(INDEX(City_Lookup!$E$2:$E$66,MATCH($G399,City_Lookup!$D$2:$D$66,0)),"Not Available")</f>
        <v>Lumbini</v>
      </c>
      <c r="I399" s="2" t="s">
        <v>1259</v>
      </c>
      <c r="J399" s="5" t="s">
        <v>29</v>
      </c>
      <c r="K399" s="5">
        <v>30</v>
      </c>
      <c r="L399" s="2"/>
      <c r="M399" s="5">
        <f t="shared" si="38"/>
        <v>30</v>
      </c>
      <c r="N399" s="2" t="s">
        <v>2491</v>
      </c>
      <c r="O399" s="2">
        <v>1</v>
      </c>
      <c r="P399" s="2" t="s">
        <v>27</v>
      </c>
      <c r="Q399" s="2" t="s">
        <v>1773</v>
      </c>
      <c r="R399" s="2" t="s">
        <v>33</v>
      </c>
      <c r="S399" s="2" t="s">
        <v>27</v>
      </c>
      <c r="T399" s="2" t="s">
        <v>34</v>
      </c>
      <c r="U399" s="2" t="s">
        <v>35</v>
      </c>
      <c r="V399" s="2" t="s">
        <v>36</v>
      </c>
      <c r="W399" s="2" t="s">
        <v>37</v>
      </c>
      <c r="X399" s="6" t="s">
        <v>2486</v>
      </c>
      <c r="Y399" s="6" t="s">
        <v>2499</v>
      </c>
      <c r="Z399" t="str">
        <f t="shared" si="39"/>
        <v>97714153051</v>
      </c>
      <c r="AA399" t="str">
        <f t="shared" si="40"/>
        <v>14153051</v>
      </c>
      <c r="AB399" t="str">
        <f t="shared" si="41"/>
        <v>14153051</v>
      </c>
      <c r="AC399" t="str">
        <f t="shared" si="42"/>
        <v>+97714153051</v>
      </c>
      <c r="AD399" t="str">
        <f t="shared" si="43"/>
        <v>Landline</v>
      </c>
      <c r="AE399" t="str">
        <f t="shared" si="44"/>
        <v>Valid</v>
      </c>
    </row>
    <row r="400" spans="1:31" x14ac:dyDescent="0.3">
      <c r="A400" s="2" t="s">
        <v>1774</v>
      </c>
      <c r="B400" s="2" t="s">
        <v>1775</v>
      </c>
      <c r="C400" s="2" t="s">
        <v>420</v>
      </c>
      <c r="D400" s="2" t="s">
        <v>1479</v>
      </c>
      <c r="E400" s="2" t="s">
        <v>1776</v>
      </c>
      <c r="F400" s="2" t="s">
        <v>1776</v>
      </c>
      <c r="G400" s="5" t="str" cm="1">
        <f t="array" ref="G400">IFERROR(INDEX(City_Lookup!$B$2:$B$297,MATCH(TRUE,ISNUMBER(SEARCH(City_Lookup!$A$2:$A$297,$F400&amp;" "&amp;$E400)),0)),"Not Available")</f>
        <v>Dang</v>
      </c>
      <c r="H400" s="5" t="str">
        <f>IFERROR(INDEX(City_Lookup!$E$2:$E$66,MATCH($G400,City_Lookup!$D$2:$D$66,0)),"Not Available")</f>
        <v>Lumbini</v>
      </c>
      <c r="I400" s="2" t="s">
        <v>1259</v>
      </c>
      <c r="J400" s="5" t="s">
        <v>29</v>
      </c>
      <c r="K400" s="5">
        <v>30</v>
      </c>
      <c r="L400" s="2"/>
      <c r="M400" s="5">
        <f t="shared" si="38"/>
        <v>30</v>
      </c>
      <c r="N400" s="2" t="s">
        <v>2492</v>
      </c>
      <c r="O400" s="2">
        <v>1</v>
      </c>
      <c r="P400" s="2" t="s">
        <v>27</v>
      </c>
      <c r="Q400" s="2" t="s">
        <v>1777</v>
      </c>
      <c r="R400" s="2" t="s">
        <v>33</v>
      </c>
      <c r="S400" s="2" t="s">
        <v>27</v>
      </c>
      <c r="T400" s="2" t="s">
        <v>34</v>
      </c>
      <c r="U400" s="2" t="s">
        <v>35</v>
      </c>
      <c r="V400" s="2" t="s">
        <v>36</v>
      </c>
      <c r="W400" s="2" t="s">
        <v>37</v>
      </c>
      <c r="X400" s="4" t="s">
        <v>421</v>
      </c>
      <c r="Y400" s="4" t="s">
        <v>2502</v>
      </c>
      <c r="Z400" t="str">
        <f t="shared" si="39"/>
        <v>977071570305</v>
      </c>
      <c r="AA400" t="str">
        <f t="shared" si="40"/>
        <v>071570305</v>
      </c>
      <c r="AB400" t="str">
        <f t="shared" si="41"/>
        <v>71570305</v>
      </c>
      <c r="AC400" t="str">
        <f t="shared" si="42"/>
        <v>+97771570305</v>
      </c>
      <c r="AD400" t="str">
        <f t="shared" si="43"/>
        <v>Landline</v>
      </c>
      <c r="AE400" t="str">
        <f t="shared" si="44"/>
        <v>Valid</v>
      </c>
    </row>
    <row r="401" spans="1:31" x14ac:dyDescent="0.3">
      <c r="A401" s="2" t="s">
        <v>1778</v>
      </c>
      <c r="B401" s="2" t="s">
        <v>1779</v>
      </c>
      <c r="C401" s="2" t="s">
        <v>1780</v>
      </c>
      <c r="D401" s="2" t="s">
        <v>1479</v>
      </c>
      <c r="E401" s="2" t="s">
        <v>1781</v>
      </c>
      <c r="F401" s="2" t="s">
        <v>1781</v>
      </c>
      <c r="G401" s="5" t="str" cm="1">
        <f t="array" ref="G401">IFERROR(INDEX(City_Lookup!$B$2:$B$297,MATCH(TRUE,ISNUMBER(SEARCH(City_Lookup!$A$2:$A$297,$F401&amp;" "&amp;$E401)),0)),"Not Available")</f>
        <v>Rupandehi</v>
      </c>
      <c r="H401" s="5" t="str">
        <f>IFERROR(INDEX(City_Lookup!$E$2:$E$66,MATCH($G401,City_Lookup!$D$2:$D$66,0)),"Not Available")</f>
        <v>Lumbini</v>
      </c>
      <c r="I401" s="2" t="s">
        <v>1259</v>
      </c>
      <c r="J401" s="5" t="s">
        <v>29</v>
      </c>
      <c r="K401" s="5">
        <v>30</v>
      </c>
      <c r="L401" s="2"/>
      <c r="M401" s="5">
        <f t="shared" si="38"/>
        <v>30</v>
      </c>
      <c r="N401" s="2" t="s">
        <v>2491</v>
      </c>
      <c r="O401" s="2">
        <v>1</v>
      </c>
      <c r="P401" s="2" t="s">
        <v>27</v>
      </c>
      <c r="Q401" s="2" t="s">
        <v>1782</v>
      </c>
      <c r="R401" s="2" t="s">
        <v>33</v>
      </c>
      <c r="S401" s="2" t="s">
        <v>27</v>
      </c>
      <c r="T401" s="2" t="s">
        <v>34</v>
      </c>
      <c r="U401" s="2" t="s">
        <v>35</v>
      </c>
      <c r="V401" s="2" t="s">
        <v>36</v>
      </c>
      <c r="W401" s="2" t="s">
        <v>37</v>
      </c>
      <c r="X401" s="6" t="s">
        <v>2486</v>
      </c>
      <c r="Y401" s="6" t="s">
        <v>2499</v>
      </c>
      <c r="Z401" t="str">
        <f t="shared" si="39"/>
        <v>97714153051</v>
      </c>
      <c r="AA401" t="str">
        <f t="shared" si="40"/>
        <v>14153051</v>
      </c>
      <c r="AB401" t="str">
        <f t="shared" si="41"/>
        <v>14153051</v>
      </c>
      <c r="AC401" t="str">
        <f t="shared" si="42"/>
        <v>+97714153051</v>
      </c>
      <c r="AD401" t="str">
        <f t="shared" si="43"/>
        <v>Landline</v>
      </c>
      <c r="AE401" t="str">
        <f t="shared" si="44"/>
        <v>Valid</v>
      </c>
    </row>
    <row r="402" spans="1:31" x14ac:dyDescent="0.3">
      <c r="A402" s="2" t="s">
        <v>1783</v>
      </c>
      <c r="B402" s="2" t="s">
        <v>1784</v>
      </c>
      <c r="C402" s="2" t="s">
        <v>1785</v>
      </c>
      <c r="D402" s="2" t="s">
        <v>1473</v>
      </c>
      <c r="E402" s="2" t="s">
        <v>1786</v>
      </c>
      <c r="F402" s="2" t="s">
        <v>1786</v>
      </c>
      <c r="G402" s="5" t="str" cm="1">
        <f t="array" ref="G402">IFERROR(INDEX(City_Lookup!$B$2:$B$297,MATCH(TRUE,ISNUMBER(SEARCH(City_Lookup!$A$2:$A$297,$F402&amp;" "&amp;$E402)),0)),"Not Available")</f>
        <v>Rupandehi</v>
      </c>
      <c r="H402" s="5" t="str">
        <f>IFERROR(INDEX(City_Lookup!$E$2:$E$66,MATCH($G402,City_Lookup!$D$2:$D$66,0)),"Not Available")</f>
        <v>Lumbini</v>
      </c>
      <c r="I402" s="2" t="s">
        <v>1259</v>
      </c>
      <c r="J402" s="5" t="s">
        <v>29</v>
      </c>
      <c r="K402" s="5">
        <v>30</v>
      </c>
      <c r="L402" s="2"/>
      <c r="M402" s="5">
        <f t="shared" si="38"/>
        <v>30</v>
      </c>
      <c r="N402" s="2" t="s">
        <v>2491</v>
      </c>
      <c r="O402" s="2">
        <v>1</v>
      </c>
      <c r="P402" s="2" t="s">
        <v>27</v>
      </c>
      <c r="Q402" s="2" t="s">
        <v>1787</v>
      </c>
      <c r="R402" s="2" t="s">
        <v>33</v>
      </c>
      <c r="S402" s="2" t="s">
        <v>27</v>
      </c>
      <c r="T402" s="2" t="s">
        <v>34</v>
      </c>
      <c r="U402" s="2" t="s">
        <v>35</v>
      </c>
      <c r="V402" s="2" t="s">
        <v>36</v>
      </c>
      <c r="W402" s="2" t="s">
        <v>37</v>
      </c>
      <c r="X402" s="6" t="s">
        <v>2486</v>
      </c>
      <c r="Y402" s="6" t="s">
        <v>2499</v>
      </c>
      <c r="Z402" t="str">
        <f t="shared" si="39"/>
        <v>97714153051</v>
      </c>
      <c r="AA402" t="str">
        <f t="shared" si="40"/>
        <v>14153051</v>
      </c>
      <c r="AB402" t="str">
        <f t="shared" si="41"/>
        <v>14153051</v>
      </c>
      <c r="AC402" t="str">
        <f t="shared" si="42"/>
        <v>+97714153051</v>
      </c>
      <c r="AD402" t="str">
        <f t="shared" si="43"/>
        <v>Landline</v>
      </c>
      <c r="AE402" t="str">
        <f t="shared" si="44"/>
        <v>Valid</v>
      </c>
    </row>
    <row r="403" spans="1:31" x14ac:dyDescent="0.3">
      <c r="A403" s="2" t="s">
        <v>1788</v>
      </c>
      <c r="B403" s="2" t="s">
        <v>1789</v>
      </c>
      <c r="C403" s="2" t="s">
        <v>1790</v>
      </c>
      <c r="D403" s="2" t="s">
        <v>1473</v>
      </c>
      <c r="E403" s="2" t="s">
        <v>1791</v>
      </c>
      <c r="F403" s="2" t="s">
        <v>1791</v>
      </c>
      <c r="G403" s="5" t="str" cm="1">
        <f t="array" ref="G403">IFERROR(INDEX(City_Lookup!$B$2:$B$297,MATCH(TRUE,ISNUMBER(SEARCH(City_Lookup!$A$2:$A$297,$F403&amp;" "&amp;$E403)),0)),"Not Available")</f>
        <v>Rupandehi</v>
      </c>
      <c r="H403" s="5" t="str">
        <f>IFERROR(INDEX(City_Lookup!$E$2:$E$66,MATCH($G403,City_Lookup!$D$2:$D$66,0)),"Not Available")</f>
        <v>Lumbini</v>
      </c>
      <c r="I403" s="2" t="s">
        <v>1259</v>
      </c>
      <c r="J403" s="5" t="s">
        <v>29</v>
      </c>
      <c r="K403" s="5">
        <v>30</v>
      </c>
      <c r="L403" s="2"/>
      <c r="M403" s="5">
        <f t="shared" si="38"/>
        <v>30</v>
      </c>
      <c r="N403" s="2" t="s">
        <v>2492</v>
      </c>
      <c r="O403" s="2">
        <v>1</v>
      </c>
      <c r="P403" s="2" t="s">
        <v>27</v>
      </c>
      <c r="Q403" s="2" t="s">
        <v>1792</v>
      </c>
      <c r="R403" s="2" t="s">
        <v>33</v>
      </c>
      <c r="S403" s="2" t="s">
        <v>27</v>
      </c>
      <c r="T403" s="2" t="s">
        <v>34</v>
      </c>
      <c r="U403" s="2" t="s">
        <v>35</v>
      </c>
      <c r="V403" s="2" t="s">
        <v>36</v>
      </c>
      <c r="W403" s="2" t="s">
        <v>37</v>
      </c>
      <c r="X403" s="6" t="s">
        <v>2486</v>
      </c>
      <c r="Y403" s="6" t="s">
        <v>2499</v>
      </c>
      <c r="Z403" t="str">
        <f t="shared" si="39"/>
        <v>97714153051</v>
      </c>
      <c r="AA403" t="str">
        <f t="shared" si="40"/>
        <v>14153051</v>
      </c>
      <c r="AB403" t="str">
        <f t="shared" si="41"/>
        <v>14153051</v>
      </c>
      <c r="AC403" t="str">
        <f t="shared" si="42"/>
        <v>+97714153051</v>
      </c>
      <c r="AD403" t="str">
        <f t="shared" si="43"/>
        <v>Landline</v>
      </c>
      <c r="AE403" t="str">
        <f t="shared" si="44"/>
        <v>Valid</v>
      </c>
    </row>
    <row r="404" spans="1:31" x14ac:dyDescent="0.3">
      <c r="A404" s="2" t="s">
        <v>1793</v>
      </c>
      <c r="B404" s="2" t="s">
        <v>1794</v>
      </c>
      <c r="C404" s="2" t="s">
        <v>1795</v>
      </c>
      <c r="D404" s="2" t="s">
        <v>1473</v>
      </c>
      <c r="E404" s="2" t="s">
        <v>1796</v>
      </c>
      <c r="F404" s="2" t="s">
        <v>1796</v>
      </c>
      <c r="G404" s="5" t="str" cm="1">
        <f t="array" ref="G404">IFERROR(INDEX(City_Lookup!$B$2:$B$297,MATCH(TRUE,ISNUMBER(SEARCH(City_Lookup!$A$2:$A$297,$F404&amp;" "&amp;$E404)),0)),"Not Available")</f>
        <v>Rupandehi</v>
      </c>
      <c r="H404" s="5" t="str">
        <f>IFERROR(INDEX(City_Lookup!$E$2:$E$66,MATCH($G404,City_Lookup!$D$2:$D$66,0)),"Not Available")</f>
        <v>Lumbini</v>
      </c>
      <c r="I404" s="2" t="s">
        <v>1259</v>
      </c>
      <c r="J404" s="5" t="s">
        <v>29</v>
      </c>
      <c r="K404" s="5">
        <v>30</v>
      </c>
      <c r="L404" s="2"/>
      <c r="M404" s="5">
        <f t="shared" si="38"/>
        <v>30</v>
      </c>
      <c r="N404" s="2" t="s">
        <v>2491</v>
      </c>
      <c r="O404" s="2">
        <v>1</v>
      </c>
      <c r="P404" s="2" t="s">
        <v>27</v>
      </c>
      <c r="Q404" s="2" t="s">
        <v>1797</v>
      </c>
      <c r="R404" s="2" t="s">
        <v>33</v>
      </c>
      <c r="S404" s="2" t="s">
        <v>27</v>
      </c>
      <c r="T404" s="2" t="s">
        <v>34</v>
      </c>
      <c r="U404" s="2" t="s">
        <v>35</v>
      </c>
      <c r="V404" s="2" t="s">
        <v>36</v>
      </c>
      <c r="W404" s="2" t="s">
        <v>37</v>
      </c>
      <c r="X404" s="6" t="s">
        <v>2486</v>
      </c>
      <c r="Y404" s="6" t="s">
        <v>2499</v>
      </c>
      <c r="Z404" t="str">
        <f t="shared" si="39"/>
        <v>97714153051</v>
      </c>
      <c r="AA404" t="str">
        <f t="shared" si="40"/>
        <v>14153051</v>
      </c>
      <c r="AB404" t="str">
        <f t="shared" si="41"/>
        <v>14153051</v>
      </c>
      <c r="AC404" t="str">
        <f t="shared" si="42"/>
        <v>+97714153051</v>
      </c>
      <c r="AD404" t="str">
        <f t="shared" si="43"/>
        <v>Landline</v>
      </c>
      <c r="AE404" t="str">
        <f t="shared" si="44"/>
        <v>Valid</v>
      </c>
    </row>
    <row r="405" spans="1:31" x14ac:dyDescent="0.3">
      <c r="A405" s="2" t="s">
        <v>1798</v>
      </c>
      <c r="B405" s="2" t="s">
        <v>1799</v>
      </c>
      <c r="C405" s="2" t="s">
        <v>1800</v>
      </c>
      <c r="D405" s="2" t="s">
        <v>1473</v>
      </c>
      <c r="E405" s="2" t="s">
        <v>1801</v>
      </c>
      <c r="F405" s="2" t="s">
        <v>1801</v>
      </c>
      <c r="G405" s="5" t="str" cm="1">
        <f t="array" ref="G405">IFERROR(INDEX(City_Lookup!$B$2:$B$297,MATCH(TRUE,ISNUMBER(SEARCH(City_Lookup!$A$2:$A$297,$F405&amp;" "&amp;$E405)),0)),"Not Available")</f>
        <v>Nawalpur</v>
      </c>
      <c r="H405" s="5" t="str">
        <f>IFERROR(INDEX(City_Lookup!$E$2:$E$66,MATCH($G405,City_Lookup!$D$2:$D$66,0)),"Not Available")</f>
        <v>Gandaki</v>
      </c>
      <c r="I405" s="2" t="s">
        <v>1259</v>
      </c>
      <c r="J405" s="5" t="s">
        <v>29</v>
      </c>
      <c r="K405" s="5">
        <v>30</v>
      </c>
      <c r="L405" s="2"/>
      <c r="M405" s="5">
        <f t="shared" si="38"/>
        <v>30</v>
      </c>
      <c r="N405" s="2" t="s">
        <v>2491</v>
      </c>
      <c r="O405" s="2">
        <v>1</v>
      </c>
      <c r="P405" s="2" t="s">
        <v>27</v>
      </c>
      <c r="Q405" s="2" t="s">
        <v>1802</v>
      </c>
      <c r="R405" s="2" t="s">
        <v>33</v>
      </c>
      <c r="S405" s="2" t="s">
        <v>27</v>
      </c>
      <c r="T405" s="2" t="s">
        <v>34</v>
      </c>
      <c r="U405" s="2" t="s">
        <v>35</v>
      </c>
      <c r="V405" s="2" t="s">
        <v>36</v>
      </c>
      <c r="W405" s="2" t="s">
        <v>37</v>
      </c>
      <c r="X405" s="6" t="s">
        <v>2486</v>
      </c>
      <c r="Y405" s="6" t="s">
        <v>2499</v>
      </c>
      <c r="Z405" t="str">
        <f t="shared" si="39"/>
        <v>97714153051</v>
      </c>
      <c r="AA405" t="str">
        <f t="shared" si="40"/>
        <v>14153051</v>
      </c>
      <c r="AB405" t="str">
        <f t="shared" si="41"/>
        <v>14153051</v>
      </c>
      <c r="AC405" t="str">
        <f t="shared" si="42"/>
        <v>+97714153051</v>
      </c>
      <c r="AD405" t="str">
        <f t="shared" si="43"/>
        <v>Landline</v>
      </c>
      <c r="AE405" t="str">
        <f t="shared" si="44"/>
        <v>Valid</v>
      </c>
    </row>
    <row r="406" spans="1:31" x14ac:dyDescent="0.3">
      <c r="A406" s="2" t="s">
        <v>1803</v>
      </c>
      <c r="B406" s="2" t="s">
        <v>1804</v>
      </c>
      <c r="C406" s="2" t="s">
        <v>1805</v>
      </c>
      <c r="D406" s="2" t="s">
        <v>1479</v>
      </c>
      <c r="E406" s="2" t="s">
        <v>1806</v>
      </c>
      <c r="F406" s="2" t="s">
        <v>1806</v>
      </c>
      <c r="G406" s="5" t="str" cm="1">
        <f t="array" ref="G406">IFERROR(INDEX(City_Lookup!$B$2:$B$297,MATCH(TRUE,ISNUMBER(SEARCH(City_Lookup!$A$2:$A$297,$F406&amp;" "&amp;$E406)),0)),"Not Available")</f>
        <v>Dang</v>
      </c>
      <c r="H406" s="5" t="str">
        <f>IFERROR(INDEX(City_Lookup!$E$2:$E$66,MATCH($G406,City_Lookup!$D$2:$D$66,0)),"Not Available")</f>
        <v>Lumbini</v>
      </c>
      <c r="I406" s="2" t="s">
        <v>1259</v>
      </c>
      <c r="J406" s="5" t="s">
        <v>29</v>
      </c>
      <c r="K406" s="5">
        <v>30</v>
      </c>
      <c r="L406" s="2"/>
      <c r="M406" s="5">
        <f t="shared" si="38"/>
        <v>30</v>
      </c>
      <c r="N406" s="2" t="s">
        <v>2492</v>
      </c>
      <c r="O406" s="2">
        <v>1</v>
      </c>
      <c r="P406" s="2" t="s">
        <v>27</v>
      </c>
      <c r="Q406" s="2" t="s">
        <v>1807</v>
      </c>
      <c r="R406" s="2" t="s">
        <v>33</v>
      </c>
      <c r="S406" s="2" t="s">
        <v>27</v>
      </c>
      <c r="T406" s="2" t="s">
        <v>34</v>
      </c>
      <c r="U406" s="2" t="s">
        <v>35</v>
      </c>
      <c r="V406" s="2" t="s">
        <v>36</v>
      </c>
      <c r="W406" s="2" t="s">
        <v>37</v>
      </c>
      <c r="X406" s="6" t="s">
        <v>2486</v>
      </c>
      <c r="Y406" s="6" t="s">
        <v>2499</v>
      </c>
      <c r="Z406" t="str">
        <f t="shared" si="39"/>
        <v>97714153051</v>
      </c>
      <c r="AA406" t="str">
        <f t="shared" si="40"/>
        <v>14153051</v>
      </c>
      <c r="AB406" t="str">
        <f t="shared" si="41"/>
        <v>14153051</v>
      </c>
      <c r="AC406" t="str">
        <f t="shared" si="42"/>
        <v>+97714153051</v>
      </c>
      <c r="AD406" t="str">
        <f t="shared" si="43"/>
        <v>Landline</v>
      </c>
      <c r="AE406" t="str">
        <f t="shared" si="44"/>
        <v>Valid</v>
      </c>
    </row>
    <row r="407" spans="1:31" x14ac:dyDescent="0.3">
      <c r="A407" s="2" t="s">
        <v>1808</v>
      </c>
      <c r="B407" s="2" t="s">
        <v>1809</v>
      </c>
      <c r="C407" s="2" t="s">
        <v>1810</v>
      </c>
      <c r="D407" s="2" t="s">
        <v>1473</v>
      </c>
      <c r="E407" s="2" t="s">
        <v>1811</v>
      </c>
      <c r="F407" s="2" t="s">
        <v>1811</v>
      </c>
      <c r="G407" s="5" t="str" cm="1">
        <f t="array" ref="G407">IFERROR(INDEX(City_Lookup!$B$2:$B$297,MATCH(TRUE,ISNUMBER(SEARCH(City_Lookup!$A$2:$A$297,$F407&amp;" "&amp;$E407)),0)),"Not Available")</f>
        <v>Dang</v>
      </c>
      <c r="H407" s="5" t="str">
        <f>IFERROR(INDEX(City_Lookup!$E$2:$E$66,MATCH($G407,City_Lookup!$D$2:$D$66,0)),"Not Available")</f>
        <v>Lumbini</v>
      </c>
      <c r="I407" s="2" t="s">
        <v>1259</v>
      </c>
      <c r="J407" s="5" t="s">
        <v>29</v>
      </c>
      <c r="K407" s="5">
        <v>30</v>
      </c>
      <c r="L407" s="2"/>
      <c r="M407" s="5">
        <f t="shared" si="38"/>
        <v>30</v>
      </c>
      <c r="N407" s="2" t="s">
        <v>2491</v>
      </c>
      <c r="O407" s="2">
        <v>1</v>
      </c>
      <c r="P407" s="2" t="s">
        <v>27</v>
      </c>
      <c r="Q407" s="2" t="s">
        <v>1812</v>
      </c>
      <c r="R407" s="2" t="s">
        <v>33</v>
      </c>
      <c r="S407" s="2" t="s">
        <v>27</v>
      </c>
      <c r="T407" s="2" t="s">
        <v>34</v>
      </c>
      <c r="U407" s="2" t="s">
        <v>35</v>
      </c>
      <c r="V407" s="2" t="s">
        <v>36</v>
      </c>
      <c r="W407" s="2" t="s">
        <v>37</v>
      </c>
      <c r="X407" s="6" t="s">
        <v>2486</v>
      </c>
      <c r="Y407" s="6" t="s">
        <v>2499</v>
      </c>
      <c r="Z407" t="str">
        <f t="shared" si="39"/>
        <v>97714153051</v>
      </c>
      <c r="AA407" t="str">
        <f t="shared" si="40"/>
        <v>14153051</v>
      </c>
      <c r="AB407" t="str">
        <f t="shared" si="41"/>
        <v>14153051</v>
      </c>
      <c r="AC407" t="str">
        <f t="shared" si="42"/>
        <v>+97714153051</v>
      </c>
      <c r="AD407" t="str">
        <f t="shared" si="43"/>
        <v>Landline</v>
      </c>
      <c r="AE407" t="str">
        <f t="shared" si="44"/>
        <v>Valid</v>
      </c>
    </row>
    <row r="408" spans="1:31" x14ac:dyDescent="0.3">
      <c r="A408" s="2" t="s">
        <v>1813</v>
      </c>
      <c r="B408" s="2" t="s">
        <v>1814</v>
      </c>
      <c r="C408" s="2" t="s">
        <v>1815</v>
      </c>
      <c r="D408" s="2" t="s">
        <v>1479</v>
      </c>
      <c r="E408" s="2" t="s">
        <v>1816</v>
      </c>
      <c r="F408" s="2" t="s">
        <v>1816</v>
      </c>
      <c r="G408" s="5" t="str" cm="1">
        <f t="array" ref="G408">IFERROR(INDEX(City_Lookup!$B$2:$B$297,MATCH(TRUE,ISNUMBER(SEARCH(City_Lookup!$A$2:$A$297,$F408&amp;" "&amp;$E408)),0)),"Not Available")</f>
        <v>Banke</v>
      </c>
      <c r="H408" s="5" t="str">
        <f>IFERROR(INDEX(City_Lookup!$E$2:$E$66,MATCH($G408,City_Lookup!$D$2:$D$66,0)),"Not Available")</f>
        <v>Lumbini</v>
      </c>
      <c r="I408" s="2" t="s">
        <v>1259</v>
      </c>
      <c r="J408" s="5" t="s">
        <v>29</v>
      </c>
      <c r="K408" s="5">
        <v>30</v>
      </c>
      <c r="L408" s="2"/>
      <c r="M408" s="5">
        <f t="shared" si="38"/>
        <v>30</v>
      </c>
      <c r="N408" s="2" t="s">
        <v>2491</v>
      </c>
      <c r="O408" s="2">
        <v>1</v>
      </c>
      <c r="P408" s="2" t="s">
        <v>27</v>
      </c>
      <c r="Q408" s="2" t="s">
        <v>1817</v>
      </c>
      <c r="R408" s="2" t="s">
        <v>33</v>
      </c>
      <c r="S408" s="2" t="s">
        <v>27</v>
      </c>
      <c r="T408" s="2" t="s">
        <v>34</v>
      </c>
      <c r="U408" s="2" t="s">
        <v>35</v>
      </c>
      <c r="V408" s="2" t="s">
        <v>36</v>
      </c>
      <c r="W408" s="2" t="s">
        <v>37</v>
      </c>
      <c r="X408" s="6" t="s">
        <v>2486</v>
      </c>
      <c r="Y408" s="6" t="s">
        <v>2499</v>
      </c>
      <c r="Z408" t="str">
        <f t="shared" si="39"/>
        <v>97714153051</v>
      </c>
      <c r="AA408" t="str">
        <f t="shared" si="40"/>
        <v>14153051</v>
      </c>
      <c r="AB408" t="str">
        <f t="shared" si="41"/>
        <v>14153051</v>
      </c>
      <c r="AC408" t="str">
        <f t="shared" si="42"/>
        <v>+97714153051</v>
      </c>
      <c r="AD408" t="str">
        <f t="shared" si="43"/>
        <v>Landline</v>
      </c>
      <c r="AE408" t="str">
        <f t="shared" si="44"/>
        <v>Valid</v>
      </c>
    </row>
    <row r="409" spans="1:31" x14ac:dyDescent="0.3">
      <c r="A409" s="2" t="s">
        <v>1818</v>
      </c>
      <c r="B409" s="2" t="s">
        <v>1819</v>
      </c>
      <c r="C409" s="2" t="s">
        <v>1820</v>
      </c>
      <c r="D409" s="2" t="s">
        <v>1479</v>
      </c>
      <c r="E409" s="2" t="s">
        <v>1821</v>
      </c>
      <c r="F409" s="2" t="s">
        <v>1821</v>
      </c>
      <c r="G409" s="5" t="str" cm="1">
        <f t="array" ref="G409">IFERROR(INDEX(City_Lookup!$B$2:$B$297,MATCH(TRUE,ISNUMBER(SEARCH(City_Lookup!$A$2:$A$297,$F409&amp;" "&amp;$E409)),0)),"Not Available")</f>
        <v>Dang</v>
      </c>
      <c r="H409" s="5" t="str">
        <f>IFERROR(INDEX(City_Lookup!$E$2:$E$66,MATCH($G409,City_Lookup!$D$2:$D$66,0)),"Not Available")</f>
        <v>Lumbini</v>
      </c>
      <c r="I409" s="2" t="s">
        <v>1259</v>
      </c>
      <c r="J409" s="5" t="s">
        <v>29</v>
      </c>
      <c r="K409" s="5">
        <v>30</v>
      </c>
      <c r="L409" s="2"/>
      <c r="M409" s="5">
        <f t="shared" si="38"/>
        <v>30</v>
      </c>
      <c r="N409" s="2" t="s">
        <v>2491</v>
      </c>
      <c r="O409" s="2">
        <v>1</v>
      </c>
      <c r="P409" s="2" t="s">
        <v>27</v>
      </c>
      <c r="Q409" s="2" t="s">
        <v>1822</v>
      </c>
      <c r="R409" s="2" t="s">
        <v>33</v>
      </c>
      <c r="S409" s="2" t="s">
        <v>27</v>
      </c>
      <c r="T409" s="2" t="s">
        <v>34</v>
      </c>
      <c r="U409" s="2" t="s">
        <v>35</v>
      </c>
      <c r="V409" s="2" t="s">
        <v>36</v>
      </c>
      <c r="W409" s="2" t="s">
        <v>37</v>
      </c>
      <c r="X409" s="6" t="s">
        <v>2486</v>
      </c>
      <c r="Y409" s="6" t="s">
        <v>2499</v>
      </c>
      <c r="Z409" t="str">
        <f t="shared" si="39"/>
        <v>97714153051</v>
      </c>
      <c r="AA409" t="str">
        <f t="shared" si="40"/>
        <v>14153051</v>
      </c>
      <c r="AB409" t="str">
        <f t="shared" si="41"/>
        <v>14153051</v>
      </c>
      <c r="AC409" t="str">
        <f t="shared" si="42"/>
        <v>+97714153051</v>
      </c>
      <c r="AD409" t="str">
        <f t="shared" si="43"/>
        <v>Landline</v>
      </c>
      <c r="AE409" t="str">
        <f t="shared" si="44"/>
        <v>Valid</v>
      </c>
    </row>
    <row r="410" spans="1:31" x14ac:dyDescent="0.3">
      <c r="A410" s="2" t="s">
        <v>1823</v>
      </c>
      <c r="B410" s="2" t="s">
        <v>1824</v>
      </c>
      <c r="C410" s="2" t="s">
        <v>1825</v>
      </c>
      <c r="D410" s="2" t="s">
        <v>1479</v>
      </c>
      <c r="E410" s="2" t="s">
        <v>1826</v>
      </c>
      <c r="F410" s="2" t="s">
        <v>1826</v>
      </c>
      <c r="G410" s="5" t="str" cm="1">
        <f t="array" ref="G410">IFERROR(INDEX(City_Lookup!$B$2:$B$297,MATCH(TRUE,ISNUMBER(SEARCH(City_Lookup!$A$2:$A$297,$F410&amp;" "&amp;$E410)),0)),"Not Available")</f>
        <v>Rupandehi</v>
      </c>
      <c r="H410" s="5" t="str">
        <f>IFERROR(INDEX(City_Lookup!$E$2:$E$66,MATCH($G410,City_Lookup!$D$2:$D$66,0)),"Not Available")</f>
        <v>Lumbini</v>
      </c>
      <c r="I410" s="2" t="s">
        <v>1259</v>
      </c>
      <c r="J410" s="5" t="s">
        <v>29</v>
      </c>
      <c r="K410" s="5">
        <v>30</v>
      </c>
      <c r="L410" s="2"/>
      <c r="M410" s="5">
        <f t="shared" si="38"/>
        <v>30</v>
      </c>
      <c r="N410" s="2" t="s">
        <v>2492</v>
      </c>
      <c r="O410" s="2">
        <v>1</v>
      </c>
      <c r="P410" s="2" t="s">
        <v>27</v>
      </c>
      <c r="Q410" s="2" t="s">
        <v>1827</v>
      </c>
      <c r="R410" s="2" t="s">
        <v>33</v>
      </c>
      <c r="S410" s="2" t="s">
        <v>27</v>
      </c>
      <c r="T410" s="2" t="s">
        <v>34</v>
      </c>
      <c r="U410" s="2" t="s">
        <v>35</v>
      </c>
      <c r="V410" s="2" t="s">
        <v>36</v>
      </c>
      <c r="W410" s="2" t="s">
        <v>37</v>
      </c>
      <c r="X410" s="6" t="s">
        <v>2486</v>
      </c>
      <c r="Y410" s="6" t="s">
        <v>2499</v>
      </c>
      <c r="Z410" t="str">
        <f t="shared" si="39"/>
        <v>97714153051</v>
      </c>
      <c r="AA410" t="str">
        <f t="shared" si="40"/>
        <v>14153051</v>
      </c>
      <c r="AB410" t="str">
        <f t="shared" si="41"/>
        <v>14153051</v>
      </c>
      <c r="AC410" t="str">
        <f t="shared" si="42"/>
        <v>+97714153051</v>
      </c>
      <c r="AD410" t="str">
        <f t="shared" si="43"/>
        <v>Landline</v>
      </c>
      <c r="AE410" t="str">
        <f t="shared" si="44"/>
        <v>Valid</v>
      </c>
    </row>
    <row r="411" spans="1:31" x14ac:dyDescent="0.3">
      <c r="A411" s="2" t="s">
        <v>1828</v>
      </c>
      <c r="B411" s="2" t="s">
        <v>1829</v>
      </c>
      <c r="C411" s="2" t="s">
        <v>1830</v>
      </c>
      <c r="D411" s="2" t="s">
        <v>1479</v>
      </c>
      <c r="E411" s="2" t="s">
        <v>1831</v>
      </c>
      <c r="F411" s="2" t="s">
        <v>1831</v>
      </c>
      <c r="G411" s="5" t="str" cm="1">
        <f t="array" ref="G411">IFERROR(INDEX(City_Lookup!$B$2:$B$297,MATCH(TRUE,ISNUMBER(SEARCH(City_Lookup!$A$2:$A$297,$F411&amp;" "&amp;$E411)),0)),"Not Available")</f>
        <v>Kapilvastu</v>
      </c>
      <c r="H411" s="5" t="str">
        <f>IFERROR(INDEX(City_Lookup!$E$2:$E$66,MATCH($G411,City_Lookup!$D$2:$D$66,0)),"Not Available")</f>
        <v>Lumbini</v>
      </c>
      <c r="I411" s="2" t="s">
        <v>1259</v>
      </c>
      <c r="J411" s="5" t="s">
        <v>29</v>
      </c>
      <c r="K411" s="5">
        <v>30</v>
      </c>
      <c r="L411" s="2"/>
      <c r="M411" s="5">
        <f t="shared" si="38"/>
        <v>30</v>
      </c>
      <c r="N411" s="2" t="s">
        <v>2491</v>
      </c>
      <c r="O411" s="2">
        <v>1</v>
      </c>
      <c r="P411" s="2" t="s">
        <v>27</v>
      </c>
      <c r="Q411" s="2" t="s">
        <v>1832</v>
      </c>
      <c r="R411" s="2" t="s">
        <v>33</v>
      </c>
      <c r="S411" s="2" t="s">
        <v>27</v>
      </c>
      <c r="T411" s="2" t="s">
        <v>34</v>
      </c>
      <c r="U411" s="2" t="s">
        <v>35</v>
      </c>
      <c r="V411" s="2" t="s">
        <v>36</v>
      </c>
      <c r="W411" s="2" t="s">
        <v>37</v>
      </c>
      <c r="X411" s="6" t="s">
        <v>2486</v>
      </c>
      <c r="Y411" s="6" t="s">
        <v>2499</v>
      </c>
      <c r="Z411" t="str">
        <f t="shared" si="39"/>
        <v>97714153051</v>
      </c>
      <c r="AA411" t="str">
        <f t="shared" si="40"/>
        <v>14153051</v>
      </c>
      <c r="AB411" t="str">
        <f t="shared" si="41"/>
        <v>14153051</v>
      </c>
      <c r="AC411" t="str">
        <f t="shared" si="42"/>
        <v>+97714153051</v>
      </c>
      <c r="AD411" t="str">
        <f t="shared" si="43"/>
        <v>Landline</v>
      </c>
      <c r="AE411" t="str">
        <f t="shared" si="44"/>
        <v>Valid</v>
      </c>
    </row>
    <row r="412" spans="1:31" x14ac:dyDescent="0.3">
      <c r="A412" s="2" t="s">
        <v>1833</v>
      </c>
      <c r="B412" s="2" t="s">
        <v>1834</v>
      </c>
      <c r="C412" s="2" t="s">
        <v>1835</v>
      </c>
      <c r="D412" s="2" t="s">
        <v>1473</v>
      </c>
      <c r="E412" s="2" t="s">
        <v>1836</v>
      </c>
      <c r="F412" s="2" t="s">
        <v>1836</v>
      </c>
      <c r="G412" s="5" t="str" cm="1">
        <f t="array" ref="G412">IFERROR(INDEX(City_Lookup!$B$2:$B$297,MATCH(TRUE,ISNUMBER(SEARCH(City_Lookup!$A$2:$A$297,$F412&amp;" "&amp;$E412)),0)),"Not Available")</f>
        <v>Banke</v>
      </c>
      <c r="H412" s="5" t="str">
        <f>IFERROR(INDEX(City_Lookup!$E$2:$E$66,MATCH($G412,City_Lookup!$D$2:$D$66,0)),"Not Available")</f>
        <v>Lumbini</v>
      </c>
      <c r="I412" s="2" t="s">
        <v>1259</v>
      </c>
      <c r="J412" s="5" t="s">
        <v>29</v>
      </c>
      <c r="K412" s="5">
        <v>30</v>
      </c>
      <c r="L412" s="2"/>
      <c r="M412" s="5">
        <f t="shared" si="38"/>
        <v>30</v>
      </c>
      <c r="N412" s="2" t="s">
        <v>2492</v>
      </c>
      <c r="O412" s="2">
        <v>1</v>
      </c>
      <c r="P412" s="2" t="s">
        <v>27</v>
      </c>
      <c r="Q412" s="2" t="s">
        <v>1837</v>
      </c>
      <c r="R412" s="2" t="s">
        <v>33</v>
      </c>
      <c r="S412" s="2" t="s">
        <v>27</v>
      </c>
      <c r="T412" s="2" t="s">
        <v>34</v>
      </c>
      <c r="U412" s="2" t="s">
        <v>35</v>
      </c>
      <c r="V412" s="2" t="s">
        <v>36</v>
      </c>
      <c r="W412" s="2" t="s">
        <v>37</v>
      </c>
      <c r="X412" s="6" t="s">
        <v>2486</v>
      </c>
      <c r="Y412" s="6" t="s">
        <v>2499</v>
      </c>
      <c r="Z412" t="str">
        <f t="shared" si="39"/>
        <v>97714153051</v>
      </c>
      <c r="AA412" t="str">
        <f t="shared" si="40"/>
        <v>14153051</v>
      </c>
      <c r="AB412" t="str">
        <f t="shared" si="41"/>
        <v>14153051</v>
      </c>
      <c r="AC412" t="str">
        <f t="shared" si="42"/>
        <v>+97714153051</v>
      </c>
      <c r="AD412" t="str">
        <f t="shared" si="43"/>
        <v>Landline</v>
      </c>
      <c r="AE412" t="str">
        <f t="shared" si="44"/>
        <v>Valid</v>
      </c>
    </row>
    <row r="413" spans="1:31" x14ac:dyDescent="0.3">
      <c r="A413" s="2" t="s">
        <v>1838</v>
      </c>
      <c r="B413" s="2" t="s">
        <v>1839</v>
      </c>
      <c r="C413" s="2" t="s">
        <v>1840</v>
      </c>
      <c r="D413" s="2" t="s">
        <v>1479</v>
      </c>
      <c r="E413" s="2" t="s">
        <v>1841</v>
      </c>
      <c r="F413" s="2" t="s">
        <v>1841</v>
      </c>
      <c r="G413" s="5" t="str" cm="1">
        <f t="array" ref="G413">IFERROR(INDEX(City_Lookup!$B$2:$B$297,MATCH(TRUE,ISNUMBER(SEARCH(City_Lookup!$A$2:$A$297,$F413&amp;" "&amp;$E413)),0)),"Not Available")</f>
        <v>Banke</v>
      </c>
      <c r="H413" s="5" t="str">
        <f>IFERROR(INDEX(City_Lookup!$E$2:$E$66,MATCH($G413,City_Lookup!$D$2:$D$66,0)),"Not Available")</f>
        <v>Lumbini</v>
      </c>
      <c r="I413" s="2" t="s">
        <v>1259</v>
      </c>
      <c r="J413" s="5" t="s">
        <v>29</v>
      </c>
      <c r="K413" s="5">
        <v>30</v>
      </c>
      <c r="L413" s="2"/>
      <c r="M413" s="5">
        <f t="shared" si="38"/>
        <v>30</v>
      </c>
      <c r="N413" s="2" t="s">
        <v>2492</v>
      </c>
      <c r="O413" s="2">
        <v>1</v>
      </c>
      <c r="P413" s="2" t="s">
        <v>27</v>
      </c>
      <c r="Q413" s="2" t="s">
        <v>1842</v>
      </c>
      <c r="R413" s="2" t="s">
        <v>33</v>
      </c>
      <c r="S413" s="2" t="s">
        <v>27</v>
      </c>
      <c r="T413" s="2" t="s">
        <v>34</v>
      </c>
      <c r="U413" s="2" t="s">
        <v>35</v>
      </c>
      <c r="V413" s="2" t="s">
        <v>36</v>
      </c>
      <c r="W413" s="2" t="s">
        <v>37</v>
      </c>
      <c r="X413" s="6" t="s">
        <v>2486</v>
      </c>
      <c r="Y413" s="6" t="s">
        <v>2499</v>
      </c>
      <c r="Z413" t="str">
        <f t="shared" si="39"/>
        <v>97714153051</v>
      </c>
      <c r="AA413" t="str">
        <f t="shared" si="40"/>
        <v>14153051</v>
      </c>
      <c r="AB413" t="str">
        <f t="shared" si="41"/>
        <v>14153051</v>
      </c>
      <c r="AC413" t="str">
        <f t="shared" si="42"/>
        <v>+97714153051</v>
      </c>
      <c r="AD413" t="str">
        <f t="shared" si="43"/>
        <v>Landline</v>
      </c>
      <c r="AE413" t="str">
        <f t="shared" si="44"/>
        <v>Valid</v>
      </c>
    </row>
    <row r="414" spans="1:31" x14ac:dyDescent="0.3">
      <c r="A414" s="2" t="s">
        <v>1843</v>
      </c>
      <c r="B414" s="2" t="s">
        <v>1844</v>
      </c>
      <c r="C414" s="2" t="s">
        <v>1845</v>
      </c>
      <c r="D414" s="2" t="s">
        <v>1479</v>
      </c>
      <c r="E414" s="2" t="s">
        <v>1846</v>
      </c>
      <c r="F414" s="2" t="s">
        <v>1846</v>
      </c>
      <c r="G414" s="5" t="str" cm="1">
        <f t="array" ref="G414">IFERROR(INDEX(City_Lookup!$B$2:$B$297,MATCH(TRUE,ISNUMBER(SEARCH(City_Lookup!$A$2:$A$297,$F414&amp;" "&amp;$E414)),0)),"Not Available")</f>
        <v>Banke</v>
      </c>
      <c r="H414" s="5" t="str">
        <f>IFERROR(INDEX(City_Lookup!$E$2:$E$66,MATCH($G414,City_Lookup!$D$2:$D$66,0)),"Not Available")</f>
        <v>Lumbini</v>
      </c>
      <c r="I414" s="2" t="s">
        <v>1259</v>
      </c>
      <c r="J414" s="5" t="s">
        <v>29</v>
      </c>
      <c r="K414" s="5">
        <v>30</v>
      </c>
      <c r="L414" s="2"/>
      <c r="M414" s="5">
        <f t="shared" si="38"/>
        <v>30</v>
      </c>
      <c r="N414" s="2" t="s">
        <v>2492</v>
      </c>
      <c r="O414" s="2">
        <v>1</v>
      </c>
      <c r="P414" s="2" t="s">
        <v>27</v>
      </c>
      <c r="Q414" s="2" t="s">
        <v>1847</v>
      </c>
      <c r="R414" s="2" t="s">
        <v>33</v>
      </c>
      <c r="S414" s="2" t="s">
        <v>27</v>
      </c>
      <c r="T414" s="2" t="s">
        <v>34</v>
      </c>
      <c r="U414" s="2" t="s">
        <v>35</v>
      </c>
      <c r="V414" s="2" t="s">
        <v>36</v>
      </c>
      <c r="W414" s="2" t="s">
        <v>37</v>
      </c>
      <c r="X414" s="6" t="s">
        <v>2486</v>
      </c>
      <c r="Y414" s="6" t="s">
        <v>2499</v>
      </c>
      <c r="Z414" t="str">
        <f t="shared" si="39"/>
        <v>97714153051</v>
      </c>
      <c r="AA414" t="str">
        <f t="shared" si="40"/>
        <v>14153051</v>
      </c>
      <c r="AB414" t="str">
        <f t="shared" si="41"/>
        <v>14153051</v>
      </c>
      <c r="AC414" t="str">
        <f t="shared" si="42"/>
        <v>+97714153051</v>
      </c>
      <c r="AD414" t="str">
        <f t="shared" si="43"/>
        <v>Landline</v>
      </c>
      <c r="AE414" t="str">
        <f t="shared" si="44"/>
        <v>Valid</v>
      </c>
    </row>
    <row r="415" spans="1:31" x14ac:dyDescent="0.3">
      <c r="A415" s="2" t="s">
        <v>1848</v>
      </c>
      <c r="B415" s="2" t="s">
        <v>1849</v>
      </c>
      <c r="C415" s="2" t="s">
        <v>1850</v>
      </c>
      <c r="D415" s="2" t="s">
        <v>1473</v>
      </c>
      <c r="E415" s="2" t="s">
        <v>1851</v>
      </c>
      <c r="F415" s="2" t="s">
        <v>1851</v>
      </c>
      <c r="G415" s="5" t="str" cm="1">
        <f t="array" ref="G415">IFERROR(INDEX(City_Lookup!$B$2:$B$297,MATCH(TRUE,ISNUMBER(SEARCH(City_Lookup!$A$2:$A$297,$F415&amp;" "&amp;$E415)),0)),"Not Available")</f>
        <v>Palpa</v>
      </c>
      <c r="H415" s="5" t="str">
        <f>IFERROR(INDEX(City_Lookup!$E$2:$E$66,MATCH($G415,City_Lookup!$D$2:$D$66,0)),"Not Available")</f>
        <v>Lumbini</v>
      </c>
      <c r="I415" s="2" t="s">
        <v>1259</v>
      </c>
      <c r="J415" s="5" t="s">
        <v>29</v>
      </c>
      <c r="K415" s="5">
        <v>30</v>
      </c>
      <c r="L415" s="2"/>
      <c r="M415" s="5">
        <f t="shared" si="38"/>
        <v>30</v>
      </c>
      <c r="N415" s="2" t="s">
        <v>2492</v>
      </c>
      <c r="O415" s="2">
        <v>1</v>
      </c>
      <c r="P415" s="2" t="s">
        <v>27</v>
      </c>
      <c r="Q415" s="2" t="s">
        <v>1852</v>
      </c>
      <c r="R415" s="2" t="s">
        <v>33</v>
      </c>
      <c r="S415" s="2" t="s">
        <v>27</v>
      </c>
      <c r="T415" s="2" t="s">
        <v>34</v>
      </c>
      <c r="U415" s="2" t="s">
        <v>35</v>
      </c>
      <c r="V415" s="2" t="s">
        <v>36</v>
      </c>
      <c r="W415" s="2" t="s">
        <v>37</v>
      </c>
      <c r="X415" s="6" t="s">
        <v>2486</v>
      </c>
      <c r="Y415" s="6" t="s">
        <v>2499</v>
      </c>
      <c r="Z415" t="str">
        <f t="shared" si="39"/>
        <v>97714153051</v>
      </c>
      <c r="AA415" t="str">
        <f t="shared" si="40"/>
        <v>14153051</v>
      </c>
      <c r="AB415" t="str">
        <f t="shared" si="41"/>
        <v>14153051</v>
      </c>
      <c r="AC415" t="str">
        <f t="shared" si="42"/>
        <v>+97714153051</v>
      </c>
      <c r="AD415" t="str">
        <f t="shared" si="43"/>
        <v>Landline</v>
      </c>
      <c r="AE415" t="str">
        <f t="shared" si="44"/>
        <v>Valid</v>
      </c>
    </row>
    <row r="416" spans="1:31" x14ac:dyDescent="0.3">
      <c r="A416" s="2" t="s">
        <v>1853</v>
      </c>
      <c r="B416" s="2" t="s">
        <v>1854</v>
      </c>
      <c r="C416" s="2" t="s">
        <v>1855</v>
      </c>
      <c r="D416" s="2" t="s">
        <v>1479</v>
      </c>
      <c r="E416" s="2" t="s">
        <v>1856</v>
      </c>
      <c r="F416" s="2" t="s">
        <v>1856</v>
      </c>
      <c r="G416" s="5" t="str" cm="1">
        <f t="array" ref="G416">IFERROR(INDEX(City_Lookup!$B$2:$B$297,MATCH(TRUE,ISNUMBER(SEARCH(City_Lookup!$A$2:$A$297,$F416&amp;" "&amp;$E416)),0)),"Not Available")</f>
        <v>Palpa</v>
      </c>
      <c r="H416" s="5" t="str">
        <f>IFERROR(INDEX(City_Lookup!$E$2:$E$66,MATCH($G416,City_Lookup!$D$2:$D$66,0)),"Not Available")</f>
        <v>Lumbini</v>
      </c>
      <c r="I416" s="2" t="s">
        <v>1259</v>
      </c>
      <c r="J416" s="5" t="s">
        <v>29</v>
      </c>
      <c r="K416" s="5">
        <v>30</v>
      </c>
      <c r="L416" s="2"/>
      <c r="M416" s="5">
        <f t="shared" si="38"/>
        <v>30</v>
      </c>
      <c r="N416" s="2" t="s">
        <v>2491</v>
      </c>
      <c r="O416" s="2">
        <v>1</v>
      </c>
      <c r="P416" s="2" t="s">
        <v>27</v>
      </c>
      <c r="Q416" s="2" t="s">
        <v>1857</v>
      </c>
      <c r="R416" s="2" t="s">
        <v>33</v>
      </c>
      <c r="S416" s="2" t="s">
        <v>27</v>
      </c>
      <c r="T416" s="2" t="s">
        <v>34</v>
      </c>
      <c r="U416" s="2" t="s">
        <v>35</v>
      </c>
      <c r="V416" s="2" t="s">
        <v>36</v>
      </c>
      <c r="W416" s="2" t="s">
        <v>37</v>
      </c>
      <c r="X416" s="6" t="s">
        <v>2486</v>
      </c>
      <c r="Y416" s="6" t="s">
        <v>2499</v>
      </c>
      <c r="Z416" t="str">
        <f t="shared" si="39"/>
        <v>97714153051</v>
      </c>
      <c r="AA416" t="str">
        <f t="shared" si="40"/>
        <v>14153051</v>
      </c>
      <c r="AB416" t="str">
        <f t="shared" si="41"/>
        <v>14153051</v>
      </c>
      <c r="AC416" t="str">
        <f t="shared" si="42"/>
        <v>+97714153051</v>
      </c>
      <c r="AD416" t="str">
        <f t="shared" si="43"/>
        <v>Landline</v>
      </c>
      <c r="AE416" t="str">
        <f t="shared" si="44"/>
        <v>Valid</v>
      </c>
    </row>
    <row r="417" spans="1:31" x14ac:dyDescent="0.3">
      <c r="A417" s="2" t="s">
        <v>1858</v>
      </c>
      <c r="B417" s="2" t="s">
        <v>1859</v>
      </c>
      <c r="C417" s="2" t="s">
        <v>1860</v>
      </c>
      <c r="D417" s="2" t="s">
        <v>1479</v>
      </c>
      <c r="E417" s="2" t="s">
        <v>1861</v>
      </c>
      <c r="F417" s="2" t="s">
        <v>1861</v>
      </c>
      <c r="G417" s="5" t="str" cm="1">
        <f t="array" ref="G417">IFERROR(INDEX(City_Lookup!$B$2:$B$297,MATCH(TRUE,ISNUMBER(SEARCH(City_Lookup!$A$2:$A$297,$F417&amp;" "&amp;$E417)),0)),"Not Available")</f>
        <v>Parasi</v>
      </c>
      <c r="H417" s="5" t="str">
        <f>IFERROR(INDEX(City_Lookup!$E$2:$E$66,MATCH($G417,City_Lookup!$D$2:$D$66,0)),"Not Available")</f>
        <v>Lumbini</v>
      </c>
      <c r="I417" s="2" t="s">
        <v>1259</v>
      </c>
      <c r="J417" s="5" t="s">
        <v>29</v>
      </c>
      <c r="K417" s="5">
        <v>30</v>
      </c>
      <c r="L417" s="2"/>
      <c r="M417" s="5">
        <f t="shared" si="38"/>
        <v>30</v>
      </c>
      <c r="N417" s="2" t="s">
        <v>2491</v>
      </c>
      <c r="O417" s="2">
        <v>1</v>
      </c>
      <c r="P417" s="2" t="s">
        <v>27</v>
      </c>
      <c r="Q417" s="2" t="s">
        <v>1862</v>
      </c>
      <c r="R417" s="2" t="s">
        <v>33</v>
      </c>
      <c r="S417" s="2" t="s">
        <v>27</v>
      </c>
      <c r="T417" s="2" t="s">
        <v>34</v>
      </c>
      <c r="U417" s="2" t="s">
        <v>35</v>
      </c>
      <c r="V417" s="2" t="s">
        <v>36</v>
      </c>
      <c r="W417" s="2" t="s">
        <v>37</v>
      </c>
      <c r="X417" s="6" t="s">
        <v>2486</v>
      </c>
      <c r="Y417" s="6" t="s">
        <v>2499</v>
      </c>
      <c r="Z417" t="str">
        <f t="shared" si="39"/>
        <v>97714153051</v>
      </c>
      <c r="AA417" t="str">
        <f t="shared" si="40"/>
        <v>14153051</v>
      </c>
      <c r="AB417" t="str">
        <f t="shared" si="41"/>
        <v>14153051</v>
      </c>
      <c r="AC417" t="str">
        <f t="shared" si="42"/>
        <v>+97714153051</v>
      </c>
      <c r="AD417" t="str">
        <f t="shared" si="43"/>
        <v>Landline</v>
      </c>
      <c r="AE417" t="str">
        <f t="shared" si="44"/>
        <v>Valid</v>
      </c>
    </row>
    <row r="418" spans="1:31" x14ac:dyDescent="0.3">
      <c r="A418" s="2" t="s">
        <v>1863</v>
      </c>
      <c r="B418" s="2" t="s">
        <v>1864</v>
      </c>
      <c r="C418" s="2" t="s">
        <v>1865</v>
      </c>
      <c r="D418" s="2" t="s">
        <v>1479</v>
      </c>
      <c r="E418" s="2" t="s">
        <v>1866</v>
      </c>
      <c r="F418" s="2" t="s">
        <v>1866</v>
      </c>
      <c r="G418" s="5" t="str" cm="1">
        <f t="array" ref="G418">IFERROR(INDEX(City_Lookup!$B$2:$B$297,MATCH(TRUE,ISNUMBER(SEARCH(City_Lookup!$A$2:$A$297,$F418&amp;" "&amp;$E418)),0)),"Not Available")</f>
        <v>Gulmi</v>
      </c>
      <c r="H418" s="5" t="str">
        <f>IFERROR(INDEX(City_Lookup!$E$2:$E$66,MATCH($G418,City_Lookup!$D$2:$D$66,0)),"Not Available")</f>
        <v>Lumbini</v>
      </c>
      <c r="I418" s="2" t="s">
        <v>1259</v>
      </c>
      <c r="J418" s="5" t="s">
        <v>29</v>
      </c>
      <c r="K418" s="5">
        <v>30</v>
      </c>
      <c r="L418" s="2"/>
      <c r="M418" s="5">
        <f t="shared" ref="M418:M449" si="45">IF($K418&lt;&gt;"",$K418,$L418)</f>
        <v>30</v>
      </c>
      <c r="N418" s="2" t="s">
        <v>2491</v>
      </c>
      <c r="O418" s="2">
        <v>1</v>
      </c>
      <c r="P418" s="2" t="s">
        <v>27</v>
      </c>
      <c r="Q418" s="2" t="s">
        <v>1867</v>
      </c>
      <c r="R418" s="2" t="s">
        <v>33</v>
      </c>
      <c r="S418" s="2" t="s">
        <v>27</v>
      </c>
      <c r="T418" s="2" t="s">
        <v>34</v>
      </c>
      <c r="U418" s="2" t="s">
        <v>35</v>
      </c>
      <c r="V418" s="2" t="s">
        <v>36</v>
      </c>
      <c r="W418" s="2" t="s">
        <v>37</v>
      </c>
      <c r="X418" s="6" t="s">
        <v>2486</v>
      </c>
      <c r="Y418" s="6" t="s">
        <v>2499</v>
      </c>
      <c r="Z418" t="str">
        <f t="shared" si="39"/>
        <v>97714153051</v>
      </c>
      <c r="AA418" t="str">
        <f t="shared" si="40"/>
        <v>14153051</v>
      </c>
      <c r="AB418" t="str">
        <f t="shared" si="41"/>
        <v>14153051</v>
      </c>
      <c r="AC418" t="str">
        <f t="shared" si="42"/>
        <v>+97714153051</v>
      </c>
      <c r="AD418" t="str">
        <f t="shared" si="43"/>
        <v>Landline</v>
      </c>
      <c r="AE418" t="str">
        <f t="shared" si="44"/>
        <v>Valid</v>
      </c>
    </row>
    <row r="419" spans="1:31" x14ac:dyDescent="0.3">
      <c r="A419" s="2" t="s">
        <v>1868</v>
      </c>
      <c r="B419" s="2" t="s">
        <v>1869</v>
      </c>
      <c r="C419" s="2" t="s">
        <v>1870</v>
      </c>
      <c r="D419" s="2" t="s">
        <v>1479</v>
      </c>
      <c r="E419" s="2" t="s">
        <v>1871</v>
      </c>
      <c r="F419" s="2" t="s">
        <v>1871</v>
      </c>
      <c r="G419" s="5" t="str" cm="1">
        <f t="array" ref="G419">IFERROR(INDEX(City_Lookup!$B$2:$B$297,MATCH(TRUE,ISNUMBER(SEARCH(City_Lookup!$A$2:$A$297,$F419&amp;" "&amp;$E419)),0)),"Not Available")</f>
        <v>Dang</v>
      </c>
      <c r="H419" s="5" t="str">
        <f>IFERROR(INDEX(City_Lookup!$E$2:$E$66,MATCH($G419,City_Lookup!$D$2:$D$66,0)),"Not Available")</f>
        <v>Lumbini</v>
      </c>
      <c r="I419" s="2" t="s">
        <v>1259</v>
      </c>
      <c r="J419" s="5" t="s">
        <v>29</v>
      </c>
      <c r="K419" s="5">
        <v>30</v>
      </c>
      <c r="L419" s="2"/>
      <c r="M419" s="5">
        <f t="shared" si="45"/>
        <v>30</v>
      </c>
      <c r="N419" s="2" t="s">
        <v>2491</v>
      </c>
      <c r="O419" s="2">
        <v>1</v>
      </c>
      <c r="P419" s="2" t="s">
        <v>27</v>
      </c>
      <c r="Q419" s="2" t="s">
        <v>1872</v>
      </c>
      <c r="R419" s="2" t="s">
        <v>33</v>
      </c>
      <c r="S419" s="2" t="s">
        <v>27</v>
      </c>
      <c r="T419" s="2" t="s">
        <v>34</v>
      </c>
      <c r="U419" s="2" t="s">
        <v>35</v>
      </c>
      <c r="V419" s="2" t="s">
        <v>36</v>
      </c>
      <c r="W419" s="2" t="s">
        <v>37</v>
      </c>
      <c r="X419" s="6" t="s">
        <v>2486</v>
      </c>
      <c r="Y419" s="6" t="s">
        <v>2499</v>
      </c>
      <c r="Z419" t="str">
        <f t="shared" si="39"/>
        <v>97714153051</v>
      </c>
      <c r="AA419" t="str">
        <f t="shared" si="40"/>
        <v>14153051</v>
      </c>
      <c r="AB419" t="str">
        <f t="shared" si="41"/>
        <v>14153051</v>
      </c>
      <c r="AC419" t="str">
        <f t="shared" si="42"/>
        <v>+97714153051</v>
      </c>
      <c r="AD419" t="str">
        <f t="shared" si="43"/>
        <v>Landline</v>
      </c>
      <c r="AE419" t="str">
        <f t="shared" si="44"/>
        <v>Valid</v>
      </c>
    </row>
    <row r="420" spans="1:31" x14ac:dyDescent="0.3">
      <c r="A420" s="2" t="s">
        <v>1873</v>
      </c>
      <c r="B420" s="2" t="s">
        <v>1874</v>
      </c>
      <c r="C420" s="2" t="s">
        <v>1875</v>
      </c>
      <c r="D420" s="2" t="s">
        <v>1479</v>
      </c>
      <c r="E420" s="2" t="s">
        <v>1876</v>
      </c>
      <c r="F420" s="2" t="s">
        <v>1876</v>
      </c>
      <c r="G420" s="5" t="str" cm="1">
        <f t="array" ref="G420">IFERROR(INDEX(City_Lookup!$B$2:$B$297,MATCH(TRUE,ISNUMBER(SEARCH(City_Lookup!$A$2:$A$297,$F420&amp;" "&amp;$E420)),0)),"Not Available")</f>
        <v>Rupandehi</v>
      </c>
      <c r="H420" s="5" t="str">
        <f>IFERROR(INDEX(City_Lookup!$E$2:$E$66,MATCH($G420,City_Lookup!$D$2:$D$66,0)),"Not Available")</f>
        <v>Lumbini</v>
      </c>
      <c r="I420" s="2" t="s">
        <v>1259</v>
      </c>
      <c r="J420" s="5" t="s">
        <v>29</v>
      </c>
      <c r="K420" s="5">
        <v>30</v>
      </c>
      <c r="L420" s="2"/>
      <c r="M420" s="5">
        <f t="shared" si="45"/>
        <v>30</v>
      </c>
      <c r="N420" s="2" t="s">
        <v>2491</v>
      </c>
      <c r="O420" s="2">
        <v>1</v>
      </c>
      <c r="P420" s="2" t="s">
        <v>27</v>
      </c>
      <c r="Q420" s="2" t="s">
        <v>1877</v>
      </c>
      <c r="R420" s="2" t="s">
        <v>33</v>
      </c>
      <c r="S420" s="2" t="s">
        <v>27</v>
      </c>
      <c r="T420" s="2" t="s">
        <v>34</v>
      </c>
      <c r="U420" s="2" t="s">
        <v>35</v>
      </c>
      <c r="V420" s="2" t="s">
        <v>36</v>
      </c>
      <c r="W420" s="2" t="s">
        <v>37</v>
      </c>
      <c r="X420" s="6" t="s">
        <v>2486</v>
      </c>
      <c r="Y420" s="6" t="s">
        <v>2499</v>
      </c>
      <c r="Z420" t="str">
        <f t="shared" si="39"/>
        <v>97714153051</v>
      </c>
      <c r="AA420" t="str">
        <f t="shared" si="40"/>
        <v>14153051</v>
      </c>
      <c r="AB420" t="str">
        <f t="shared" si="41"/>
        <v>14153051</v>
      </c>
      <c r="AC420" t="str">
        <f t="shared" si="42"/>
        <v>+97714153051</v>
      </c>
      <c r="AD420" t="str">
        <f t="shared" si="43"/>
        <v>Landline</v>
      </c>
      <c r="AE420" t="str">
        <f t="shared" si="44"/>
        <v>Valid</v>
      </c>
    </row>
    <row r="421" spans="1:31" x14ac:dyDescent="0.3">
      <c r="A421" s="2" t="s">
        <v>1878</v>
      </c>
      <c r="B421" s="2" t="s">
        <v>1879</v>
      </c>
      <c r="C421" s="2" t="s">
        <v>1352</v>
      </c>
      <c r="D421" s="2" t="s">
        <v>1479</v>
      </c>
      <c r="E421" s="2" t="s">
        <v>1880</v>
      </c>
      <c r="F421" s="2" t="s">
        <v>1880</v>
      </c>
      <c r="G421" s="5" t="str" cm="1">
        <f t="array" ref="G421">IFERROR(INDEX(City_Lookup!$B$2:$B$297,MATCH(TRUE,ISNUMBER(SEARCH(City_Lookup!$A$2:$A$297,$F421&amp;" "&amp;$E421)),0)),"Not Available")</f>
        <v>Rupandehi</v>
      </c>
      <c r="H421" s="5" t="str">
        <f>IFERROR(INDEX(City_Lookup!$E$2:$E$66,MATCH($G421,City_Lookup!$D$2:$D$66,0)),"Not Available")</f>
        <v>Lumbini</v>
      </c>
      <c r="I421" s="2" t="s">
        <v>1259</v>
      </c>
      <c r="J421" s="5" t="s">
        <v>29</v>
      </c>
      <c r="K421" s="5">
        <v>30</v>
      </c>
      <c r="L421" s="2"/>
      <c r="M421" s="5">
        <f t="shared" si="45"/>
        <v>30</v>
      </c>
      <c r="N421" s="2" t="s">
        <v>2492</v>
      </c>
      <c r="O421" s="2">
        <v>1</v>
      </c>
      <c r="P421" s="2" t="s">
        <v>27</v>
      </c>
      <c r="Q421" s="2" t="s">
        <v>1881</v>
      </c>
      <c r="R421" s="2" t="s">
        <v>33</v>
      </c>
      <c r="S421" s="2" t="s">
        <v>27</v>
      </c>
      <c r="T421" s="2" t="s">
        <v>34</v>
      </c>
      <c r="U421" s="2" t="s">
        <v>35</v>
      </c>
      <c r="V421" s="2" t="s">
        <v>36</v>
      </c>
      <c r="W421" s="2" t="s">
        <v>37</v>
      </c>
      <c r="X421" s="4" t="s">
        <v>1353</v>
      </c>
      <c r="Y421" s="4" t="s">
        <v>2502</v>
      </c>
      <c r="Z421" t="str">
        <f t="shared" si="39"/>
        <v>71570305</v>
      </c>
      <c r="AA421" t="str">
        <f t="shared" si="40"/>
        <v>71570305</v>
      </c>
      <c r="AB421" t="str">
        <f t="shared" si="41"/>
        <v>71570305</v>
      </c>
      <c r="AC421" t="str">
        <f t="shared" si="42"/>
        <v>+97771570305</v>
      </c>
      <c r="AD421" t="str">
        <f t="shared" si="43"/>
        <v>Landline</v>
      </c>
      <c r="AE421" t="str">
        <f t="shared" si="44"/>
        <v>Valid</v>
      </c>
    </row>
    <row r="422" spans="1:31" x14ac:dyDescent="0.3">
      <c r="A422" s="2" t="s">
        <v>1882</v>
      </c>
      <c r="B422" s="2" t="s">
        <v>1883</v>
      </c>
      <c r="C422" s="2" t="s">
        <v>1884</v>
      </c>
      <c r="D422" s="2" t="s">
        <v>1479</v>
      </c>
      <c r="E422" s="2" t="s">
        <v>1885</v>
      </c>
      <c r="F422" s="2" t="s">
        <v>1885</v>
      </c>
      <c r="G422" s="5" t="str" cm="1">
        <f t="array" ref="G422">IFERROR(INDEX(City_Lookup!$B$2:$B$297,MATCH(TRUE,ISNUMBER(SEARCH(City_Lookup!$A$2:$A$297,$F422&amp;" "&amp;$E422)),0)),"Not Available")</f>
        <v>Bardiya</v>
      </c>
      <c r="H422" s="5" t="str">
        <f>IFERROR(INDEX(City_Lookup!$E$2:$E$66,MATCH($G422,City_Lookup!$D$2:$D$66,0)),"Not Available")</f>
        <v>Lumbini</v>
      </c>
      <c r="I422" s="2" t="s">
        <v>1259</v>
      </c>
      <c r="J422" s="5" t="s">
        <v>29</v>
      </c>
      <c r="K422" s="5">
        <v>30</v>
      </c>
      <c r="L422" s="2"/>
      <c r="M422" s="5">
        <f t="shared" si="45"/>
        <v>30</v>
      </c>
      <c r="N422" s="2" t="s">
        <v>2491</v>
      </c>
      <c r="O422" s="2">
        <v>1</v>
      </c>
      <c r="P422" s="2" t="s">
        <v>27</v>
      </c>
      <c r="Q422" s="2" t="s">
        <v>1886</v>
      </c>
      <c r="R422" s="2" t="s">
        <v>33</v>
      </c>
      <c r="S422" s="2" t="s">
        <v>27</v>
      </c>
      <c r="T422" s="2" t="s">
        <v>34</v>
      </c>
      <c r="U422" s="2" t="s">
        <v>35</v>
      </c>
      <c r="V422" s="2" t="s">
        <v>36</v>
      </c>
      <c r="W422" s="2" t="s">
        <v>37</v>
      </c>
      <c r="X422" s="6" t="s">
        <v>2486</v>
      </c>
      <c r="Y422" s="6" t="s">
        <v>2499</v>
      </c>
      <c r="Z422" t="str">
        <f t="shared" si="39"/>
        <v>97714153051</v>
      </c>
      <c r="AA422" t="str">
        <f t="shared" si="40"/>
        <v>14153051</v>
      </c>
      <c r="AB422" t="str">
        <f t="shared" si="41"/>
        <v>14153051</v>
      </c>
      <c r="AC422" t="str">
        <f t="shared" si="42"/>
        <v>+97714153051</v>
      </c>
      <c r="AD422" t="str">
        <f t="shared" si="43"/>
        <v>Landline</v>
      </c>
      <c r="AE422" t="str">
        <f t="shared" si="44"/>
        <v>Valid</v>
      </c>
    </row>
    <row r="423" spans="1:31" x14ac:dyDescent="0.3">
      <c r="A423" s="2" t="s">
        <v>1887</v>
      </c>
      <c r="B423" s="2" t="s">
        <v>1888</v>
      </c>
      <c r="C423" s="2" t="s">
        <v>1889</v>
      </c>
      <c r="D423" s="2" t="s">
        <v>1473</v>
      </c>
      <c r="E423" s="2" t="s">
        <v>1890</v>
      </c>
      <c r="F423" s="2" t="s">
        <v>1890</v>
      </c>
      <c r="G423" s="5" t="str" cm="1">
        <f t="array" ref="G423">IFERROR(INDEX(City_Lookup!$B$2:$B$297,MATCH(TRUE,ISNUMBER(SEARCH(City_Lookup!$A$2:$A$297,$F423&amp;" "&amp;$E423)),0)),"Not Available")</f>
        <v>Dang</v>
      </c>
      <c r="H423" s="5" t="str">
        <f>IFERROR(INDEX(City_Lookup!$E$2:$E$66,MATCH($G423,City_Lookup!$D$2:$D$66,0)),"Not Available")</f>
        <v>Lumbini</v>
      </c>
      <c r="I423" s="2" t="s">
        <v>1259</v>
      </c>
      <c r="J423" s="5" t="s">
        <v>29</v>
      </c>
      <c r="K423" s="5">
        <v>30</v>
      </c>
      <c r="L423" s="2"/>
      <c r="M423" s="5">
        <f t="shared" si="45"/>
        <v>30</v>
      </c>
      <c r="N423" s="2" t="s">
        <v>2491</v>
      </c>
      <c r="O423" s="2">
        <v>1</v>
      </c>
      <c r="P423" s="2" t="s">
        <v>27</v>
      </c>
      <c r="Q423" s="2" t="s">
        <v>1891</v>
      </c>
      <c r="R423" s="2" t="s">
        <v>33</v>
      </c>
      <c r="S423" s="2" t="s">
        <v>27</v>
      </c>
      <c r="T423" s="2" t="s">
        <v>34</v>
      </c>
      <c r="U423" s="2" t="s">
        <v>35</v>
      </c>
      <c r="V423" s="2" t="s">
        <v>36</v>
      </c>
      <c r="W423" s="2" t="s">
        <v>37</v>
      </c>
      <c r="X423" s="6" t="s">
        <v>2486</v>
      </c>
      <c r="Y423" s="6" t="s">
        <v>2499</v>
      </c>
      <c r="Z423" t="str">
        <f t="shared" si="39"/>
        <v>97714153051</v>
      </c>
      <c r="AA423" t="str">
        <f t="shared" si="40"/>
        <v>14153051</v>
      </c>
      <c r="AB423" t="str">
        <f t="shared" si="41"/>
        <v>14153051</v>
      </c>
      <c r="AC423" t="str">
        <f t="shared" si="42"/>
        <v>+97714153051</v>
      </c>
      <c r="AD423" t="str">
        <f t="shared" si="43"/>
        <v>Landline</v>
      </c>
      <c r="AE423" t="str">
        <f t="shared" si="44"/>
        <v>Valid</v>
      </c>
    </row>
    <row r="424" spans="1:31" x14ac:dyDescent="0.3">
      <c r="A424" s="2" t="s">
        <v>1892</v>
      </c>
      <c r="B424" s="2" t="s">
        <v>1893</v>
      </c>
      <c r="C424" s="2" t="s">
        <v>1894</v>
      </c>
      <c r="D424" s="2" t="s">
        <v>1473</v>
      </c>
      <c r="E424" s="2" t="s">
        <v>247</v>
      </c>
      <c r="F424" s="2" t="s">
        <v>247</v>
      </c>
      <c r="G424" s="5" t="str" cm="1">
        <f t="array" ref="G424">IFERROR(INDEX(City_Lookup!$B$2:$B$297,MATCH(TRUE,ISNUMBER(SEARCH(City_Lookup!$A$2:$A$297,$F424&amp;" "&amp;$E424)),0)),"Not Available")</f>
        <v>Dang</v>
      </c>
      <c r="H424" s="5" t="str">
        <f>IFERROR(INDEX(City_Lookup!$E$2:$E$66,MATCH($G424,City_Lookup!$D$2:$D$66,0)),"Not Available")</f>
        <v>Lumbini</v>
      </c>
      <c r="I424" s="2" t="s">
        <v>1259</v>
      </c>
      <c r="J424" s="5" t="s">
        <v>29</v>
      </c>
      <c r="K424" s="5">
        <v>30</v>
      </c>
      <c r="L424" s="2"/>
      <c r="M424" s="5">
        <f t="shared" si="45"/>
        <v>30</v>
      </c>
      <c r="N424" s="2" t="s">
        <v>2491</v>
      </c>
      <c r="O424" s="2">
        <v>1</v>
      </c>
      <c r="P424" s="2" t="s">
        <v>27</v>
      </c>
      <c r="Q424" s="2" t="s">
        <v>1895</v>
      </c>
      <c r="R424" s="2" t="s">
        <v>33</v>
      </c>
      <c r="S424" s="2" t="s">
        <v>27</v>
      </c>
      <c r="T424" s="2" t="s">
        <v>34</v>
      </c>
      <c r="U424" s="2" t="s">
        <v>35</v>
      </c>
      <c r="V424" s="2" t="s">
        <v>36</v>
      </c>
      <c r="W424" s="2" t="s">
        <v>37</v>
      </c>
      <c r="X424" s="6" t="s">
        <v>2486</v>
      </c>
      <c r="Y424" s="6" t="s">
        <v>2499</v>
      </c>
      <c r="Z424" t="str">
        <f t="shared" si="39"/>
        <v>97714153051</v>
      </c>
      <c r="AA424" t="str">
        <f t="shared" si="40"/>
        <v>14153051</v>
      </c>
      <c r="AB424" t="str">
        <f t="shared" si="41"/>
        <v>14153051</v>
      </c>
      <c r="AC424" t="str">
        <f t="shared" si="42"/>
        <v>+97714153051</v>
      </c>
      <c r="AD424" t="str">
        <f t="shared" si="43"/>
        <v>Landline</v>
      </c>
      <c r="AE424" t="str">
        <f t="shared" si="44"/>
        <v>Valid</v>
      </c>
    </row>
    <row r="425" spans="1:31" x14ac:dyDescent="0.3">
      <c r="A425" s="2" t="s">
        <v>1896</v>
      </c>
      <c r="B425" s="2" t="s">
        <v>1897</v>
      </c>
      <c r="C425" s="2" t="s">
        <v>1898</v>
      </c>
      <c r="D425" s="2" t="s">
        <v>1479</v>
      </c>
      <c r="E425" s="2" t="s">
        <v>1899</v>
      </c>
      <c r="F425" s="2" t="s">
        <v>1899</v>
      </c>
      <c r="G425" s="5" t="str" cm="1">
        <f t="array" ref="G425">IFERROR(INDEX(City_Lookup!$B$2:$B$297,MATCH(TRUE,ISNUMBER(SEARCH(City_Lookup!$A$2:$A$297,$F425&amp;" "&amp;$E425)),0)),"Not Available")</f>
        <v>Dang</v>
      </c>
      <c r="H425" s="5" t="str">
        <f>IFERROR(INDEX(City_Lookup!$E$2:$E$66,MATCH($G425,City_Lookup!$D$2:$D$66,0)),"Not Available")</f>
        <v>Lumbini</v>
      </c>
      <c r="I425" s="2" t="s">
        <v>1259</v>
      </c>
      <c r="J425" s="5" t="s">
        <v>29</v>
      </c>
      <c r="K425" s="5">
        <v>30</v>
      </c>
      <c r="L425" s="2"/>
      <c r="M425" s="5">
        <f t="shared" si="45"/>
        <v>30</v>
      </c>
      <c r="N425" s="2" t="s">
        <v>2491</v>
      </c>
      <c r="O425" s="2">
        <v>1</v>
      </c>
      <c r="P425" s="2" t="s">
        <v>27</v>
      </c>
      <c r="Q425" s="2" t="s">
        <v>1900</v>
      </c>
      <c r="R425" s="2" t="s">
        <v>33</v>
      </c>
      <c r="S425" s="2" t="s">
        <v>27</v>
      </c>
      <c r="T425" s="2" t="s">
        <v>34</v>
      </c>
      <c r="U425" s="2" t="s">
        <v>35</v>
      </c>
      <c r="V425" s="2" t="s">
        <v>36</v>
      </c>
      <c r="W425" s="2" t="s">
        <v>37</v>
      </c>
      <c r="X425" s="6" t="s">
        <v>2486</v>
      </c>
      <c r="Y425" s="6" t="s">
        <v>2499</v>
      </c>
      <c r="Z425" t="str">
        <f t="shared" si="39"/>
        <v>97714153051</v>
      </c>
      <c r="AA425" t="str">
        <f t="shared" si="40"/>
        <v>14153051</v>
      </c>
      <c r="AB425" t="str">
        <f t="shared" si="41"/>
        <v>14153051</v>
      </c>
      <c r="AC425" t="str">
        <f t="shared" si="42"/>
        <v>+97714153051</v>
      </c>
      <c r="AD425" t="str">
        <f t="shared" si="43"/>
        <v>Landline</v>
      </c>
      <c r="AE425" t="str">
        <f t="shared" si="44"/>
        <v>Valid</v>
      </c>
    </row>
    <row r="426" spans="1:31" x14ac:dyDescent="0.3">
      <c r="A426" s="2" t="s">
        <v>1901</v>
      </c>
      <c r="B426" s="2" t="s">
        <v>1902</v>
      </c>
      <c r="C426" s="2" t="s">
        <v>1903</v>
      </c>
      <c r="D426" s="2" t="s">
        <v>1479</v>
      </c>
      <c r="E426" s="2" t="s">
        <v>1904</v>
      </c>
      <c r="F426" s="2" t="s">
        <v>1904</v>
      </c>
      <c r="G426" s="5" t="str" cm="1">
        <f t="array" ref="G426">IFERROR(INDEX(City_Lookup!$B$2:$B$297,MATCH(TRUE,ISNUMBER(SEARCH(City_Lookup!$A$2:$A$297,$F426&amp;" "&amp;$E426)),0)),"Not Available")</f>
        <v>Chitwan</v>
      </c>
      <c r="H426" s="5" t="str">
        <f>IFERROR(INDEX(City_Lookup!$E$2:$E$66,MATCH($G426,City_Lookup!$D$2:$D$66,0)),"Not Available")</f>
        <v>Bagmati</v>
      </c>
      <c r="I426" s="2" t="s">
        <v>1259</v>
      </c>
      <c r="J426" s="5" t="s">
        <v>29</v>
      </c>
      <c r="K426" s="5">
        <v>30</v>
      </c>
      <c r="L426" s="2"/>
      <c r="M426" s="5">
        <f t="shared" si="45"/>
        <v>30</v>
      </c>
      <c r="N426" s="2" t="s">
        <v>2492</v>
      </c>
      <c r="O426" s="2">
        <v>1</v>
      </c>
      <c r="P426" s="2" t="s">
        <v>27</v>
      </c>
      <c r="Q426" s="2" t="s">
        <v>1905</v>
      </c>
      <c r="R426" s="2" t="s">
        <v>33</v>
      </c>
      <c r="S426" s="2" t="s">
        <v>27</v>
      </c>
      <c r="T426" s="2" t="s">
        <v>34</v>
      </c>
      <c r="U426" s="2" t="s">
        <v>35</v>
      </c>
      <c r="V426" s="2" t="s">
        <v>36</v>
      </c>
      <c r="W426" s="2" t="s">
        <v>37</v>
      </c>
      <c r="X426" s="6" t="s">
        <v>2486</v>
      </c>
      <c r="Y426" s="6" t="s">
        <v>2499</v>
      </c>
      <c r="Z426" t="str">
        <f t="shared" si="39"/>
        <v>97714153051</v>
      </c>
      <c r="AA426" t="str">
        <f t="shared" si="40"/>
        <v>14153051</v>
      </c>
      <c r="AB426" t="str">
        <f t="shared" si="41"/>
        <v>14153051</v>
      </c>
      <c r="AC426" t="str">
        <f t="shared" si="42"/>
        <v>+97714153051</v>
      </c>
      <c r="AD426" t="str">
        <f t="shared" si="43"/>
        <v>Landline</v>
      </c>
      <c r="AE426" t="str">
        <f t="shared" si="44"/>
        <v>Valid</v>
      </c>
    </row>
    <row r="427" spans="1:31" x14ac:dyDescent="0.3">
      <c r="A427" s="2" t="s">
        <v>1906</v>
      </c>
      <c r="B427" s="2" t="s">
        <v>1907</v>
      </c>
      <c r="C427" s="2" t="s">
        <v>1908</v>
      </c>
      <c r="D427" s="2" t="s">
        <v>1479</v>
      </c>
      <c r="E427" s="2" t="s">
        <v>1909</v>
      </c>
      <c r="F427" s="2" t="s">
        <v>1909</v>
      </c>
      <c r="G427" s="5" t="str" cm="1">
        <f t="array" ref="G427">IFERROR(INDEX(City_Lookup!$B$2:$B$297,MATCH(TRUE,ISNUMBER(SEARCH(City_Lookup!$A$2:$A$297,$F427&amp;" "&amp;$E427)),0)),"Not Available")</f>
        <v>Chitwan</v>
      </c>
      <c r="H427" s="5" t="str">
        <f>IFERROR(INDEX(City_Lookup!$E$2:$E$66,MATCH($G427,City_Lookup!$D$2:$D$66,0)),"Not Available")</f>
        <v>Bagmati</v>
      </c>
      <c r="I427" s="2" t="s">
        <v>1259</v>
      </c>
      <c r="J427" s="5" t="s">
        <v>29</v>
      </c>
      <c r="K427" s="5">
        <v>30</v>
      </c>
      <c r="L427" s="2"/>
      <c r="M427" s="5">
        <f t="shared" si="45"/>
        <v>30</v>
      </c>
      <c r="N427" s="2" t="s">
        <v>2492</v>
      </c>
      <c r="O427" s="2">
        <v>1</v>
      </c>
      <c r="P427" s="2" t="s">
        <v>27</v>
      </c>
      <c r="Q427" s="2" t="s">
        <v>1910</v>
      </c>
      <c r="R427" s="2" t="s">
        <v>33</v>
      </c>
      <c r="S427" s="2" t="s">
        <v>27</v>
      </c>
      <c r="T427" s="2" t="s">
        <v>34</v>
      </c>
      <c r="U427" s="2" t="s">
        <v>35</v>
      </c>
      <c r="V427" s="2" t="s">
        <v>36</v>
      </c>
      <c r="W427" s="2" t="s">
        <v>37</v>
      </c>
      <c r="X427" s="6" t="s">
        <v>2486</v>
      </c>
      <c r="Y427" s="6" t="s">
        <v>2499</v>
      </c>
      <c r="Z427" t="str">
        <f t="shared" si="39"/>
        <v>97714153051</v>
      </c>
      <c r="AA427" t="str">
        <f t="shared" si="40"/>
        <v>14153051</v>
      </c>
      <c r="AB427" t="str">
        <f t="shared" si="41"/>
        <v>14153051</v>
      </c>
      <c r="AC427" t="str">
        <f t="shared" si="42"/>
        <v>+97714153051</v>
      </c>
      <c r="AD427" t="str">
        <f t="shared" si="43"/>
        <v>Landline</v>
      </c>
      <c r="AE427" t="str">
        <f t="shared" si="44"/>
        <v>Valid</v>
      </c>
    </row>
    <row r="428" spans="1:31" x14ac:dyDescent="0.3">
      <c r="A428" s="2" t="s">
        <v>1911</v>
      </c>
      <c r="B428" s="2" t="s">
        <v>1912</v>
      </c>
      <c r="C428" s="2" t="s">
        <v>1913</v>
      </c>
      <c r="D428" s="2" t="s">
        <v>1473</v>
      </c>
      <c r="E428" s="2" t="s">
        <v>1914</v>
      </c>
      <c r="F428" s="2" t="s">
        <v>1914</v>
      </c>
      <c r="G428" s="5" t="str" cm="1">
        <f t="array" ref="G428">IFERROR(INDEX(City_Lookup!$B$2:$B$297,MATCH(TRUE,ISNUMBER(SEARCH(City_Lookup!$A$2:$A$297,$F428&amp;" "&amp;$E428)),0)),"Not Available")</f>
        <v>Chitwan</v>
      </c>
      <c r="H428" s="5" t="str">
        <f>IFERROR(INDEX(City_Lookup!$E$2:$E$66,MATCH($G428,City_Lookup!$D$2:$D$66,0)),"Not Available")</f>
        <v>Bagmati</v>
      </c>
      <c r="I428" s="2" t="s">
        <v>1259</v>
      </c>
      <c r="J428" s="5" t="s">
        <v>29</v>
      </c>
      <c r="K428" s="5">
        <v>30</v>
      </c>
      <c r="L428" s="2"/>
      <c r="M428" s="5">
        <f t="shared" si="45"/>
        <v>30</v>
      </c>
      <c r="N428" s="2" t="s">
        <v>2492</v>
      </c>
      <c r="O428" s="2">
        <v>1</v>
      </c>
      <c r="P428" s="2" t="s">
        <v>27</v>
      </c>
      <c r="Q428" s="2" t="s">
        <v>1915</v>
      </c>
      <c r="R428" s="2" t="s">
        <v>33</v>
      </c>
      <c r="S428" s="2" t="s">
        <v>27</v>
      </c>
      <c r="T428" s="2" t="s">
        <v>34</v>
      </c>
      <c r="U428" s="2" t="s">
        <v>35</v>
      </c>
      <c r="V428" s="2" t="s">
        <v>36</v>
      </c>
      <c r="W428" s="2" t="s">
        <v>37</v>
      </c>
      <c r="X428" s="6" t="s">
        <v>2486</v>
      </c>
      <c r="Y428" s="6" t="s">
        <v>2499</v>
      </c>
      <c r="Z428" t="str">
        <f t="shared" si="39"/>
        <v>97714153051</v>
      </c>
      <c r="AA428" t="str">
        <f t="shared" si="40"/>
        <v>14153051</v>
      </c>
      <c r="AB428" t="str">
        <f t="shared" si="41"/>
        <v>14153051</v>
      </c>
      <c r="AC428" t="str">
        <f t="shared" si="42"/>
        <v>+97714153051</v>
      </c>
      <c r="AD428" t="str">
        <f t="shared" si="43"/>
        <v>Landline</v>
      </c>
      <c r="AE428" t="str">
        <f t="shared" si="44"/>
        <v>Valid</v>
      </c>
    </row>
    <row r="429" spans="1:31" x14ac:dyDescent="0.3">
      <c r="A429" s="2" t="s">
        <v>1916</v>
      </c>
      <c r="B429" s="2" t="s">
        <v>1917</v>
      </c>
      <c r="C429" s="2" t="s">
        <v>1918</v>
      </c>
      <c r="D429" s="2" t="s">
        <v>1473</v>
      </c>
      <c r="E429" s="2" t="s">
        <v>1919</v>
      </c>
      <c r="F429" s="2" t="s">
        <v>1919</v>
      </c>
      <c r="G429" s="5" t="str" cm="1">
        <f t="array" ref="G429">IFERROR(INDEX(City_Lookup!$B$2:$B$297,MATCH(TRUE,ISNUMBER(SEARCH(City_Lookup!$A$2:$A$297,$F429&amp;" "&amp;$E429)),0)),"Not Available")</f>
        <v>Chitwan</v>
      </c>
      <c r="H429" s="5" t="str">
        <f>IFERROR(INDEX(City_Lookup!$E$2:$E$66,MATCH($G429,City_Lookup!$D$2:$D$66,0)),"Not Available")</f>
        <v>Bagmati</v>
      </c>
      <c r="I429" s="2" t="s">
        <v>1259</v>
      </c>
      <c r="J429" s="5" t="s">
        <v>29</v>
      </c>
      <c r="K429" s="5">
        <v>30</v>
      </c>
      <c r="L429" s="2"/>
      <c r="M429" s="5">
        <f t="shared" si="45"/>
        <v>30</v>
      </c>
      <c r="N429" s="2" t="s">
        <v>2491</v>
      </c>
      <c r="O429" s="2">
        <v>1</v>
      </c>
      <c r="P429" s="2" t="s">
        <v>27</v>
      </c>
      <c r="Q429" s="2" t="s">
        <v>1920</v>
      </c>
      <c r="R429" s="2" t="s">
        <v>33</v>
      </c>
      <c r="S429" s="2" t="s">
        <v>27</v>
      </c>
      <c r="T429" s="2" t="s">
        <v>34</v>
      </c>
      <c r="U429" s="2" t="s">
        <v>35</v>
      </c>
      <c r="V429" s="2" t="s">
        <v>36</v>
      </c>
      <c r="W429" s="2" t="s">
        <v>37</v>
      </c>
      <c r="X429" s="6" t="s">
        <v>2486</v>
      </c>
      <c r="Y429" s="6" t="s">
        <v>2499</v>
      </c>
      <c r="Z429" t="str">
        <f t="shared" si="39"/>
        <v>97714153051</v>
      </c>
      <c r="AA429" t="str">
        <f t="shared" si="40"/>
        <v>14153051</v>
      </c>
      <c r="AB429" t="str">
        <f t="shared" si="41"/>
        <v>14153051</v>
      </c>
      <c r="AC429" t="str">
        <f t="shared" si="42"/>
        <v>+97714153051</v>
      </c>
      <c r="AD429" t="str">
        <f t="shared" si="43"/>
        <v>Landline</v>
      </c>
      <c r="AE429" t="str">
        <f t="shared" si="44"/>
        <v>Valid</v>
      </c>
    </row>
    <row r="430" spans="1:31" x14ac:dyDescent="0.3">
      <c r="A430" s="2" t="s">
        <v>1921</v>
      </c>
      <c r="B430" s="2" t="s">
        <v>1922</v>
      </c>
      <c r="C430" s="2" t="s">
        <v>1923</v>
      </c>
      <c r="D430" s="2" t="s">
        <v>1479</v>
      </c>
      <c r="E430" s="2" t="s">
        <v>1924</v>
      </c>
      <c r="F430" s="2" t="s">
        <v>1924</v>
      </c>
      <c r="G430" s="5" t="str" cm="1">
        <f t="array" ref="G430">IFERROR(INDEX(City_Lookup!$B$2:$B$297,MATCH(TRUE,ISNUMBER(SEARCH(City_Lookup!$A$2:$A$297,$F430&amp;" "&amp;$E430)),0)),"Not Available")</f>
        <v>Chitwan</v>
      </c>
      <c r="H430" s="5" t="str">
        <f>IFERROR(INDEX(City_Lookup!$E$2:$E$66,MATCH($G430,City_Lookup!$D$2:$D$66,0)),"Not Available")</f>
        <v>Bagmati</v>
      </c>
      <c r="I430" s="2" t="s">
        <v>1259</v>
      </c>
      <c r="J430" s="5" t="s">
        <v>29</v>
      </c>
      <c r="K430" s="5">
        <v>30</v>
      </c>
      <c r="L430" s="2"/>
      <c r="M430" s="5">
        <f t="shared" si="45"/>
        <v>30</v>
      </c>
      <c r="N430" s="2" t="s">
        <v>2491</v>
      </c>
      <c r="O430" s="2">
        <v>1</v>
      </c>
      <c r="P430" s="2" t="s">
        <v>27</v>
      </c>
      <c r="Q430" s="2" t="s">
        <v>1926</v>
      </c>
      <c r="R430" s="2" t="s">
        <v>33</v>
      </c>
      <c r="S430" s="2" t="s">
        <v>27</v>
      </c>
      <c r="T430" s="2" t="s">
        <v>34</v>
      </c>
      <c r="U430" s="2" t="s">
        <v>35</v>
      </c>
      <c r="V430" s="2" t="s">
        <v>36</v>
      </c>
      <c r="W430" s="2" t="s">
        <v>37</v>
      </c>
      <c r="X430" s="6" t="s">
        <v>2486</v>
      </c>
      <c r="Y430" s="6" t="s">
        <v>2499</v>
      </c>
      <c r="Z430" t="str">
        <f t="shared" si="39"/>
        <v>97714153051</v>
      </c>
      <c r="AA430" t="str">
        <f t="shared" si="40"/>
        <v>14153051</v>
      </c>
      <c r="AB430" t="str">
        <f t="shared" si="41"/>
        <v>14153051</v>
      </c>
      <c r="AC430" t="str">
        <f t="shared" si="42"/>
        <v>+97714153051</v>
      </c>
      <c r="AD430" t="str">
        <f t="shared" si="43"/>
        <v>Landline</v>
      </c>
      <c r="AE430" t="str">
        <f t="shared" si="44"/>
        <v>Valid</v>
      </c>
    </row>
    <row r="431" spans="1:31" x14ac:dyDescent="0.3">
      <c r="A431" s="2" t="s">
        <v>1927</v>
      </c>
      <c r="B431" s="2" t="s">
        <v>1928</v>
      </c>
      <c r="C431" s="2" t="s">
        <v>1929</v>
      </c>
      <c r="D431" s="2" t="s">
        <v>1473</v>
      </c>
      <c r="E431" s="2" t="s">
        <v>1930</v>
      </c>
      <c r="F431" s="2" t="s">
        <v>1930</v>
      </c>
      <c r="G431" s="5" t="str" cm="1">
        <f t="array" ref="G431">IFERROR(INDEX(City_Lookup!$B$2:$B$297,MATCH(TRUE,ISNUMBER(SEARCH(City_Lookup!$A$2:$A$297,$F431&amp;" "&amp;$E431)),0)),"Not Available")</f>
        <v>Chitwan</v>
      </c>
      <c r="H431" s="5" t="str">
        <f>IFERROR(INDEX(City_Lookup!$E$2:$E$66,MATCH($G431,City_Lookup!$D$2:$D$66,0)),"Not Available")</f>
        <v>Bagmati</v>
      </c>
      <c r="I431" s="2" t="s">
        <v>1259</v>
      </c>
      <c r="J431" s="5" t="s">
        <v>29</v>
      </c>
      <c r="K431" s="5">
        <v>30</v>
      </c>
      <c r="L431" s="2"/>
      <c r="M431" s="5">
        <f t="shared" si="45"/>
        <v>30</v>
      </c>
      <c r="N431" s="2" t="s">
        <v>2491</v>
      </c>
      <c r="O431" s="2">
        <v>1</v>
      </c>
      <c r="P431" s="2" t="s">
        <v>27</v>
      </c>
      <c r="Q431" s="2" t="s">
        <v>1931</v>
      </c>
      <c r="R431" s="2" t="s">
        <v>33</v>
      </c>
      <c r="S431" s="2" t="s">
        <v>27</v>
      </c>
      <c r="T431" s="2" t="s">
        <v>34</v>
      </c>
      <c r="U431" s="2" t="s">
        <v>35</v>
      </c>
      <c r="V431" s="2" t="s">
        <v>36</v>
      </c>
      <c r="W431" s="2" t="s">
        <v>37</v>
      </c>
      <c r="X431" s="6" t="s">
        <v>2486</v>
      </c>
      <c r="Y431" s="6" t="s">
        <v>2499</v>
      </c>
      <c r="Z431" t="str">
        <f t="shared" si="39"/>
        <v>97714153051</v>
      </c>
      <c r="AA431" t="str">
        <f t="shared" si="40"/>
        <v>14153051</v>
      </c>
      <c r="AB431" t="str">
        <f t="shared" si="41"/>
        <v>14153051</v>
      </c>
      <c r="AC431" t="str">
        <f t="shared" si="42"/>
        <v>+97714153051</v>
      </c>
      <c r="AD431" t="str">
        <f t="shared" si="43"/>
        <v>Landline</v>
      </c>
      <c r="AE431" t="str">
        <f t="shared" si="44"/>
        <v>Valid</v>
      </c>
    </row>
    <row r="432" spans="1:31" x14ac:dyDescent="0.3">
      <c r="A432" s="2" t="s">
        <v>1932</v>
      </c>
      <c r="B432" s="2" t="s">
        <v>1933</v>
      </c>
      <c r="C432" s="2" t="s">
        <v>1934</v>
      </c>
      <c r="D432" s="2" t="s">
        <v>1479</v>
      </c>
      <c r="E432" s="2" t="s">
        <v>1935</v>
      </c>
      <c r="F432" s="2" t="s">
        <v>1935</v>
      </c>
      <c r="G432" s="5" t="str" cm="1">
        <f t="array" ref="G432">IFERROR(INDEX(City_Lookup!$B$2:$B$297,MATCH(TRUE,ISNUMBER(SEARCH(City_Lookup!$A$2:$A$297,$F432&amp;" "&amp;$E432)),0)),"Not Available")</f>
        <v>Dhading</v>
      </c>
      <c r="H432" s="5" t="str">
        <f>IFERROR(INDEX(City_Lookup!$E$2:$E$66,MATCH($G432,City_Lookup!$D$2:$D$66,0)),"Not Available")</f>
        <v>Bagmati</v>
      </c>
      <c r="I432" s="2" t="s">
        <v>1259</v>
      </c>
      <c r="J432" s="5" t="s">
        <v>29</v>
      </c>
      <c r="K432" s="5">
        <v>30</v>
      </c>
      <c r="L432" s="2"/>
      <c r="M432" s="5">
        <f t="shared" si="45"/>
        <v>30</v>
      </c>
      <c r="N432" s="2" t="s">
        <v>2491</v>
      </c>
      <c r="O432" s="2">
        <v>1</v>
      </c>
      <c r="P432" s="2" t="s">
        <v>27</v>
      </c>
      <c r="Q432" s="2" t="s">
        <v>1936</v>
      </c>
      <c r="R432" s="2" t="s">
        <v>33</v>
      </c>
      <c r="S432" s="2" t="s">
        <v>27</v>
      </c>
      <c r="T432" s="2" t="s">
        <v>34</v>
      </c>
      <c r="U432" s="2" t="s">
        <v>35</v>
      </c>
      <c r="V432" s="2" t="s">
        <v>36</v>
      </c>
      <c r="W432" s="2" t="s">
        <v>37</v>
      </c>
      <c r="X432" s="6" t="s">
        <v>2486</v>
      </c>
      <c r="Y432" s="6" t="s">
        <v>2499</v>
      </c>
      <c r="Z432" t="str">
        <f t="shared" si="39"/>
        <v>97714153051</v>
      </c>
      <c r="AA432" t="str">
        <f t="shared" si="40"/>
        <v>14153051</v>
      </c>
      <c r="AB432" t="str">
        <f t="shared" si="41"/>
        <v>14153051</v>
      </c>
      <c r="AC432" t="str">
        <f t="shared" si="42"/>
        <v>+97714153051</v>
      </c>
      <c r="AD432" t="str">
        <f t="shared" si="43"/>
        <v>Landline</v>
      </c>
      <c r="AE432" t="str">
        <f t="shared" si="44"/>
        <v>Valid</v>
      </c>
    </row>
    <row r="433" spans="1:31" x14ac:dyDescent="0.3">
      <c r="A433" s="2" t="s">
        <v>1937</v>
      </c>
      <c r="B433" s="2" t="s">
        <v>1938</v>
      </c>
      <c r="C433" s="2" t="s">
        <v>1939</v>
      </c>
      <c r="D433" s="2" t="s">
        <v>1479</v>
      </c>
      <c r="E433" s="2" t="s">
        <v>1940</v>
      </c>
      <c r="F433" s="2" t="s">
        <v>1940</v>
      </c>
      <c r="G433" s="5" t="str" cm="1">
        <f t="array" ref="G433">IFERROR(INDEX(City_Lookup!$B$2:$B$297,MATCH(TRUE,ISNUMBER(SEARCH(City_Lookup!$A$2:$A$297,$F433&amp;" "&amp;$E433)),0)),"Not Available")</f>
        <v>Makwanpur</v>
      </c>
      <c r="H433" s="5" t="str">
        <f>IFERROR(INDEX(City_Lookup!$E$2:$E$66,MATCH($G433,City_Lookup!$D$2:$D$66,0)),"Not Available")</f>
        <v>Bagmati</v>
      </c>
      <c r="I433" s="2" t="s">
        <v>1259</v>
      </c>
      <c r="J433" s="5" t="s">
        <v>29</v>
      </c>
      <c r="K433" s="5">
        <v>30</v>
      </c>
      <c r="L433" s="2"/>
      <c r="M433" s="5">
        <f t="shared" si="45"/>
        <v>30</v>
      </c>
      <c r="N433" s="2" t="s">
        <v>2492</v>
      </c>
      <c r="O433" s="2">
        <v>1</v>
      </c>
      <c r="P433" s="2" t="s">
        <v>27</v>
      </c>
      <c r="Q433" s="2" t="s">
        <v>1941</v>
      </c>
      <c r="R433" s="2" t="s">
        <v>33</v>
      </c>
      <c r="S433" s="2" t="s">
        <v>27</v>
      </c>
      <c r="T433" s="2" t="s">
        <v>34</v>
      </c>
      <c r="U433" s="2" t="s">
        <v>35</v>
      </c>
      <c r="V433" s="2" t="s">
        <v>36</v>
      </c>
      <c r="W433" s="2" t="s">
        <v>37</v>
      </c>
      <c r="X433" s="6" t="s">
        <v>2486</v>
      </c>
      <c r="Y433" s="6" t="s">
        <v>2499</v>
      </c>
      <c r="Z433" t="str">
        <f t="shared" si="39"/>
        <v>97714153051</v>
      </c>
      <c r="AA433" t="str">
        <f t="shared" si="40"/>
        <v>14153051</v>
      </c>
      <c r="AB433" t="str">
        <f t="shared" si="41"/>
        <v>14153051</v>
      </c>
      <c r="AC433" t="str">
        <f t="shared" si="42"/>
        <v>+97714153051</v>
      </c>
      <c r="AD433" t="str">
        <f t="shared" si="43"/>
        <v>Landline</v>
      </c>
      <c r="AE433" t="str">
        <f t="shared" si="44"/>
        <v>Valid</v>
      </c>
    </row>
    <row r="434" spans="1:31" x14ac:dyDescent="0.3">
      <c r="A434" s="2" t="s">
        <v>1942</v>
      </c>
      <c r="B434" s="2" t="s">
        <v>1943</v>
      </c>
      <c r="C434" s="2" t="s">
        <v>1944</v>
      </c>
      <c r="D434" s="2" t="s">
        <v>1258</v>
      </c>
      <c r="E434" s="2" t="s">
        <v>1945</v>
      </c>
      <c r="F434" s="2" t="s">
        <v>1945</v>
      </c>
      <c r="G434" s="5" t="str" cm="1">
        <f t="array" ref="G434">IFERROR(INDEX(City_Lookup!$B$2:$B$297,MATCH(TRUE,ISNUMBER(SEARCH(City_Lookup!$A$2:$A$297,$F434&amp;" "&amp;$E434)),0)),"Not Available")</f>
        <v>Dhading</v>
      </c>
      <c r="H434" s="5" t="str">
        <f>IFERROR(INDEX(City_Lookup!$E$2:$E$66,MATCH($G434,City_Lookup!$D$2:$D$66,0)),"Not Available")</f>
        <v>Bagmati</v>
      </c>
      <c r="I434" s="2" t="s">
        <v>1259</v>
      </c>
      <c r="J434" s="5" t="s">
        <v>29</v>
      </c>
      <c r="K434" s="5">
        <v>30</v>
      </c>
      <c r="L434" s="2"/>
      <c r="M434" s="5">
        <f t="shared" si="45"/>
        <v>30</v>
      </c>
      <c r="N434" s="2" t="s">
        <v>2491</v>
      </c>
      <c r="O434" s="2">
        <v>1</v>
      </c>
      <c r="P434" s="2" t="s">
        <v>27</v>
      </c>
      <c r="Q434" s="2" t="s">
        <v>1946</v>
      </c>
      <c r="R434" s="2" t="s">
        <v>33</v>
      </c>
      <c r="S434" s="2" t="s">
        <v>27</v>
      </c>
      <c r="T434" s="2" t="s">
        <v>34</v>
      </c>
      <c r="U434" s="2" t="s">
        <v>35</v>
      </c>
      <c r="V434" s="2" t="s">
        <v>36</v>
      </c>
      <c r="W434" s="2" t="s">
        <v>37</v>
      </c>
      <c r="X434" s="6" t="s">
        <v>2486</v>
      </c>
      <c r="Y434" s="6" t="s">
        <v>2499</v>
      </c>
      <c r="Z434" t="str">
        <f t="shared" si="39"/>
        <v>97714153051</v>
      </c>
      <c r="AA434" t="str">
        <f t="shared" si="40"/>
        <v>14153051</v>
      </c>
      <c r="AB434" t="str">
        <f t="shared" si="41"/>
        <v>14153051</v>
      </c>
      <c r="AC434" t="str">
        <f t="shared" si="42"/>
        <v>+97714153051</v>
      </c>
      <c r="AD434" t="str">
        <f t="shared" si="43"/>
        <v>Landline</v>
      </c>
      <c r="AE434" t="str">
        <f t="shared" si="44"/>
        <v>Valid</v>
      </c>
    </row>
    <row r="435" spans="1:31" x14ac:dyDescent="0.3">
      <c r="A435" s="2" t="s">
        <v>1947</v>
      </c>
      <c r="B435" s="2" t="s">
        <v>1948</v>
      </c>
      <c r="C435" s="2" t="s">
        <v>1949</v>
      </c>
      <c r="D435" s="2" t="s">
        <v>1479</v>
      </c>
      <c r="E435" s="2" t="s">
        <v>1950</v>
      </c>
      <c r="F435" s="2" t="s">
        <v>1950</v>
      </c>
      <c r="G435" s="5" t="str" cm="1">
        <f t="array" ref="G435">IFERROR(INDEX(City_Lookup!$B$2:$B$297,MATCH(TRUE,ISNUMBER(SEARCH(City_Lookup!$A$2:$A$297,$F435&amp;" "&amp;$E435)),0)),"Not Available")</f>
        <v>Dhading</v>
      </c>
      <c r="H435" s="5" t="str">
        <f>IFERROR(INDEX(City_Lookup!$E$2:$E$66,MATCH($G435,City_Lookup!$D$2:$D$66,0)),"Not Available")</f>
        <v>Bagmati</v>
      </c>
      <c r="I435" s="2" t="s">
        <v>1259</v>
      </c>
      <c r="J435" s="5" t="s">
        <v>29</v>
      </c>
      <c r="K435" s="5">
        <v>30</v>
      </c>
      <c r="L435" s="2"/>
      <c r="M435" s="5">
        <f t="shared" si="45"/>
        <v>30</v>
      </c>
      <c r="N435" s="2" t="s">
        <v>2491</v>
      </c>
      <c r="O435" s="2">
        <v>1</v>
      </c>
      <c r="P435" s="2" t="s">
        <v>27</v>
      </c>
      <c r="Q435" s="2" t="s">
        <v>1951</v>
      </c>
      <c r="R435" s="2" t="s">
        <v>33</v>
      </c>
      <c r="S435" s="2" t="s">
        <v>27</v>
      </c>
      <c r="T435" s="2" t="s">
        <v>34</v>
      </c>
      <c r="U435" s="2" t="s">
        <v>35</v>
      </c>
      <c r="V435" s="2" t="s">
        <v>36</v>
      </c>
      <c r="W435" s="2" t="s">
        <v>37</v>
      </c>
      <c r="X435" s="6" t="s">
        <v>2486</v>
      </c>
      <c r="Y435" s="6" t="s">
        <v>2499</v>
      </c>
      <c r="Z435" t="str">
        <f t="shared" si="39"/>
        <v>97714153051</v>
      </c>
      <c r="AA435" t="str">
        <f t="shared" si="40"/>
        <v>14153051</v>
      </c>
      <c r="AB435" t="str">
        <f t="shared" si="41"/>
        <v>14153051</v>
      </c>
      <c r="AC435" t="str">
        <f t="shared" si="42"/>
        <v>+97714153051</v>
      </c>
      <c r="AD435" t="str">
        <f t="shared" si="43"/>
        <v>Landline</v>
      </c>
      <c r="AE435" t="str">
        <f t="shared" si="44"/>
        <v>Valid</v>
      </c>
    </row>
    <row r="436" spans="1:31" x14ac:dyDescent="0.3">
      <c r="A436" s="2" t="s">
        <v>1952</v>
      </c>
      <c r="B436" s="2" t="s">
        <v>1953</v>
      </c>
      <c r="C436" s="2" t="s">
        <v>1954</v>
      </c>
      <c r="D436" s="2" t="s">
        <v>1473</v>
      </c>
      <c r="E436" s="2" t="s">
        <v>1955</v>
      </c>
      <c r="F436" s="2" t="s">
        <v>1955</v>
      </c>
      <c r="G436" s="5" t="str" cm="1">
        <f t="array" ref="G436">IFERROR(INDEX(City_Lookup!$B$2:$B$297,MATCH(TRUE,ISNUMBER(SEARCH(City_Lookup!$A$2:$A$297,$F436&amp;" "&amp;$E436)),0)),"Not Available")</f>
        <v>Dhading</v>
      </c>
      <c r="H436" s="5" t="str">
        <f>IFERROR(INDEX(City_Lookup!$E$2:$E$66,MATCH($G436,City_Lookup!$D$2:$D$66,0)),"Not Available")</f>
        <v>Bagmati</v>
      </c>
      <c r="I436" s="2" t="s">
        <v>1259</v>
      </c>
      <c r="J436" s="5" t="s">
        <v>29</v>
      </c>
      <c r="K436" s="5">
        <v>30</v>
      </c>
      <c r="L436" s="2"/>
      <c r="M436" s="5">
        <f t="shared" si="45"/>
        <v>30</v>
      </c>
      <c r="N436" s="2" t="s">
        <v>2492</v>
      </c>
      <c r="O436" s="2">
        <v>1</v>
      </c>
      <c r="P436" s="2" t="s">
        <v>27</v>
      </c>
      <c r="Q436" s="2" t="s">
        <v>1956</v>
      </c>
      <c r="R436" s="2" t="s">
        <v>33</v>
      </c>
      <c r="S436" s="2" t="s">
        <v>27</v>
      </c>
      <c r="T436" s="2" t="s">
        <v>34</v>
      </c>
      <c r="U436" s="2" t="s">
        <v>35</v>
      </c>
      <c r="V436" s="2" t="s">
        <v>36</v>
      </c>
      <c r="W436" s="2" t="s">
        <v>37</v>
      </c>
      <c r="X436" s="6" t="s">
        <v>2486</v>
      </c>
      <c r="Y436" s="6" t="s">
        <v>2499</v>
      </c>
      <c r="Z436" t="str">
        <f t="shared" si="39"/>
        <v>97714153051</v>
      </c>
      <c r="AA436" t="str">
        <f t="shared" si="40"/>
        <v>14153051</v>
      </c>
      <c r="AB436" t="str">
        <f t="shared" si="41"/>
        <v>14153051</v>
      </c>
      <c r="AC436" t="str">
        <f t="shared" si="42"/>
        <v>+97714153051</v>
      </c>
      <c r="AD436" t="str">
        <f t="shared" si="43"/>
        <v>Landline</v>
      </c>
      <c r="AE436" t="str">
        <f t="shared" si="44"/>
        <v>Valid</v>
      </c>
    </row>
    <row r="437" spans="1:31" x14ac:dyDescent="0.3">
      <c r="A437" s="2" t="s">
        <v>1957</v>
      </c>
      <c r="B437" s="2" t="s">
        <v>1958</v>
      </c>
      <c r="C437" s="2" t="s">
        <v>1959</v>
      </c>
      <c r="D437" s="2" t="s">
        <v>1473</v>
      </c>
      <c r="E437" s="2" t="s">
        <v>1960</v>
      </c>
      <c r="F437" s="2" t="s">
        <v>1960</v>
      </c>
      <c r="G437" s="5" t="str" cm="1">
        <f t="array" ref="G437">IFERROR(INDEX(City_Lookup!$B$2:$B$297,MATCH(TRUE,ISNUMBER(SEARCH(City_Lookup!$A$2:$A$297,$F437&amp;" "&amp;$E437)),0)),"Not Available")</f>
        <v>Dhading</v>
      </c>
      <c r="H437" s="5" t="str">
        <f>IFERROR(INDEX(City_Lookup!$E$2:$E$66,MATCH($G437,City_Lookup!$D$2:$D$66,0)),"Not Available")</f>
        <v>Bagmati</v>
      </c>
      <c r="I437" s="2" t="s">
        <v>1259</v>
      </c>
      <c r="J437" s="5" t="s">
        <v>29</v>
      </c>
      <c r="K437" s="5">
        <v>30</v>
      </c>
      <c r="L437" s="2"/>
      <c r="M437" s="5">
        <f t="shared" si="45"/>
        <v>30</v>
      </c>
      <c r="N437" s="2" t="s">
        <v>2492</v>
      </c>
      <c r="O437" s="2">
        <v>1</v>
      </c>
      <c r="P437" s="2" t="s">
        <v>27</v>
      </c>
      <c r="Q437" s="2" t="s">
        <v>1961</v>
      </c>
      <c r="R437" s="2" t="s">
        <v>33</v>
      </c>
      <c r="S437" s="2" t="s">
        <v>27</v>
      </c>
      <c r="T437" s="2" t="s">
        <v>34</v>
      </c>
      <c r="U437" s="2" t="s">
        <v>35</v>
      </c>
      <c r="V437" s="2" t="s">
        <v>36</v>
      </c>
      <c r="W437" s="2" t="s">
        <v>37</v>
      </c>
      <c r="X437" s="6" t="s">
        <v>2486</v>
      </c>
      <c r="Y437" s="6" t="s">
        <v>2499</v>
      </c>
      <c r="Z437" t="str">
        <f t="shared" si="39"/>
        <v>97714153051</v>
      </c>
      <c r="AA437" t="str">
        <f t="shared" si="40"/>
        <v>14153051</v>
      </c>
      <c r="AB437" t="str">
        <f t="shared" si="41"/>
        <v>14153051</v>
      </c>
      <c r="AC437" t="str">
        <f t="shared" si="42"/>
        <v>+97714153051</v>
      </c>
      <c r="AD437" t="str">
        <f t="shared" si="43"/>
        <v>Landline</v>
      </c>
      <c r="AE437" t="str">
        <f t="shared" si="44"/>
        <v>Valid</v>
      </c>
    </row>
    <row r="438" spans="1:31" x14ac:dyDescent="0.3">
      <c r="A438" s="2" t="s">
        <v>1962</v>
      </c>
      <c r="B438" s="2" t="s">
        <v>1963</v>
      </c>
      <c r="C438" s="2" t="s">
        <v>1964</v>
      </c>
      <c r="D438" s="2" t="s">
        <v>1479</v>
      </c>
      <c r="E438" s="2" t="s">
        <v>1965</v>
      </c>
      <c r="F438" s="2" t="s">
        <v>1965</v>
      </c>
      <c r="G438" s="5" t="str" cm="1">
        <f t="array" ref="G438">IFERROR(INDEX(City_Lookup!$B$2:$B$297,MATCH(TRUE,ISNUMBER(SEARCH(City_Lookup!$A$2:$A$297,$F438&amp;" "&amp;$E438)),0)),"Not Available")</f>
        <v>Dhading</v>
      </c>
      <c r="H438" s="5" t="str">
        <f>IFERROR(INDEX(City_Lookup!$E$2:$E$66,MATCH($G438,City_Lookup!$D$2:$D$66,0)),"Not Available")</f>
        <v>Bagmati</v>
      </c>
      <c r="I438" s="2" t="s">
        <v>1259</v>
      </c>
      <c r="J438" s="5" t="s">
        <v>29</v>
      </c>
      <c r="K438" s="5">
        <v>30</v>
      </c>
      <c r="L438" s="2"/>
      <c r="M438" s="5">
        <f t="shared" si="45"/>
        <v>30</v>
      </c>
      <c r="N438" s="2" t="s">
        <v>2491</v>
      </c>
      <c r="O438" s="2">
        <v>1</v>
      </c>
      <c r="P438" s="2" t="s">
        <v>27</v>
      </c>
      <c r="Q438" s="2" t="s">
        <v>1966</v>
      </c>
      <c r="R438" s="2" t="s">
        <v>33</v>
      </c>
      <c r="S438" s="2" t="s">
        <v>27</v>
      </c>
      <c r="T438" s="2" t="s">
        <v>34</v>
      </c>
      <c r="U438" s="2" t="s">
        <v>35</v>
      </c>
      <c r="V438" s="2" t="s">
        <v>36</v>
      </c>
      <c r="W438" s="2" t="s">
        <v>37</v>
      </c>
      <c r="X438" s="6" t="s">
        <v>2486</v>
      </c>
      <c r="Y438" s="6" t="s">
        <v>2499</v>
      </c>
      <c r="Z438" t="str">
        <f t="shared" si="39"/>
        <v>97714153051</v>
      </c>
      <c r="AA438" t="str">
        <f t="shared" si="40"/>
        <v>14153051</v>
      </c>
      <c r="AB438" t="str">
        <f t="shared" si="41"/>
        <v>14153051</v>
      </c>
      <c r="AC438" t="str">
        <f t="shared" si="42"/>
        <v>+97714153051</v>
      </c>
      <c r="AD438" t="str">
        <f t="shared" si="43"/>
        <v>Landline</v>
      </c>
      <c r="AE438" t="str">
        <f t="shared" si="44"/>
        <v>Valid</v>
      </c>
    </row>
    <row r="439" spans="1:31" x14ac:dyDescent="0.3">
      <c r="A439" s="2" t="s">
        <v>1967</v>
      </c>
      <c r="B439" s="2" t="s">
        <v>1968</v>
      </c>
      <c r="C439" s="2" t="s">
        <v>1969</v>
      </c>
      <c r="D439" s="2" t="s">
        <v>1473</v>
      </c>
      <c r="E439" s="2" t="s">
        <v>1970</v>
      </c>
      <c r="F439" s="2" t="s">
        <v>1970</v>
      </c>
      <c r="G439" s="5" t="str" cm="1">
        <f t="array" ref="G439">IFERROR(INDEX(City_Lookup!$B$2:$B$297,MATCH(TRUE,ISNUMBER(SEARCH(City_Lookup!$A$2:$A$297,$F439&amp;" "&amp;$E439)),0)),"Not Available")</f>
        <v>Dhading</v>
      </c>
      <c r="H439" s="5" t="str">
        <f>IFERROR(INDEX(City_Lookup!$E$2:$E$66,MATCH($G439,City_Lookup!$D$2:$D$66,0)),"Not Available")</f>
        <v>Bagmati</v>
      </c>
      <c r="I439" s="2" t="s">
        <v>1259</v>
      </c>
      <c r="J439" s="5" t="s">
        <v>29</v>
      </c>
      <c r="K439" s="5">
        <v>30</v>
      </c>
      <c r="L439" s="2"/>
      <c r="M439" s="5">
        <f t="shared" si="45"/>
        <v>30</v>
      </c>
      <c r="N439" s="2" t="s">
        <v>2491</v>
      </c>
      <c r="O439" s="2">
        <v>1</v>
      </c>
      <c r="P439" s="2" t="s">
        <v>27</v>
      </c>
      <c r="Q439" s="2" t="s">
        <v>1971</v>
      </c>
      <c r="R439" s="2" t="s">
        <v>33</v>
      </c>
      <c r="S439" s="2" t="s">
        <v>27</v>
      </c>
      <c r="T439" s="2" t="s">
        <v>34</v>
      </c>
      <c r="U439" s="2" t="s">
        <v>35</v>
      </c>
      <c r="V439" s="2" t="s">
        <v>36</v>
      </c>
      <c r="W439" s="2" t="s">
        <v>37</v>
      </c>
      <c r="X439" s="6" t="s">
        <v>2486</v>
      </c>
      <c r="Y439" s="6" t="s">
        <v>2499</v>
      </c>
      <c r="Z439" t="str">
        <f t="shared" si="39"/>
        <v>97714153051</v>
      </c>
      <c r="AA439" t="str">
        <f t="shared" si="40"/>
        <v>14153051</v>
      </c>
      <c r="AB439" t="str">
        <f t="shared" si="41"/>
        <v>14153051</v>
      </c>
      <c r="AC439" t="str">
        <f t="shared" si="42"/>
        <v>+97714153051</v>
      </c>
      <c r="AD439" t="str">
        <f t="shared" si="43"/>
        <v>Landline</v>
      </c>
      <c r="AE439" t="str">
        <f t="shared" si="44"/>
        <v>Valid</v>
      </c>
    </row>
    <row r="440" spans="1:31" x14ac:dyDescent="0.3">
      <c r="A440" s="2" t="s">
        <v>1972</v>
      </c>
      <c r="B440" s="2" t="s">
        <v>1973</v>
      </c>
      <c r="C440" s="2" t="s">
        <v>1974</v>
      </c>
      <c r="D440" s="2" t="s">
        <v>1479</v>
      </c>
      <c r="E440" s="2" t="s">
        <v>1975</v>
      </c>
      <c r="F440" s="2" t="s">
        <v>1975</v>
      </c>
      <c r="G440" s="5" t="str" cm="1">
        <f t="array" ref="G440">IFERROR(INDEX(City_Lookup!$B$2:$B$297,MATCH(TRUE,ISNUMBER(SEARCH(City_Lookup!$A$2:$A$297,$F440&amp;" "&amp;$E440)),0)),"Not Available")</f>
        <v>Kavre</v>
      </c>
      <c r="H440" s="5" t="str">
        <f>IFERROR(INDEX(City_Lookup!$E$2:$E$66,MATCH($G440,City_Lookup!$D$2:$D$66,0)),"Not Available")</f>
        <v>Bagmati</v>
      </c>
      <c r="I440" s="2" t="s">
        <v>1259</v>
      </c>
      <c r="J440" s="5" t="s">
        <v>29</v>
      </c>
      <c r="K440" s="5">
        <v>30</v>
      </c>
      <c r="L440" s="2"/>
      <c r="M440" s="5">
        <f t="shared" si="45"/>
        <v>30</v>
      </c>
      <c r="N440" s="2" t="s">
        <v>2492</v>
      </c>
      <c r="O440" s="2">
        <v>1</v>
      </c>
      <c r="P440" s="2" t="s">
        <v>27</v>
      </c>
      <c r="Q440" s="2" t="s">
        <v>1976</v>
      </c>
      <c r="R440" s="2" t="s">
        <v>33</v>
      </c>
      <c r="S440" s="2" t="s">
        <v>27</v>
      </c>
      <c r="T440" s="2" t="s">
        <v>34</v>
      </c>
      <c r="U440" s="2" t="s">
        <v>35</v>
      </c>
      <c r="V440" s="2" t="s">
        <v>36</v>
      </c>
      <c r="W440" s="2" t="s">
        <v>37</v>
      </c>
      <c r="X440" s="6" t="s">
        <v>2486</v>
      </c>
      <c r="Y440" s="6" t="s">
        <v>2499</v>
      </c>
      <c r="Z440" t="str">
        <f t="shared" si="39"/>
        <v>97714153051</v>
      </c>
      <c r="AA440" t="str">
        <f t="shared" si="40"/>
        <v>14153051</v>
      </c>
      <c r="AB440" t="str">
        <f t="shared" si="41"/>
        <v>14153051</v>
      </c>
      <c r="AC440" t="str">
        <f t="shared" si="42"/>
        <v>+97714153051</v>
      </c>
      <c r="AD440" t="str">
        <f t="shared" si="43"/>
        <v>Landline</v>
      </c>
      <c r="AE440" t="str">
        <f t="shared" si="44"/>
        <v>Valid</v>
      </c>
    </row>
    <row r="441" spans="1:31" x14ac:dyDescent="0.3">
      <c r="A441" s="2" t="s">
        <v>1977</v>
      </c>
      <c r="B441" s="2" t="s">
        <v>1978</v>
      </c>
      <c r="C441" s="2" t="s">
        <v>1979</v>
      </c>
      <c r="D441" s="2" t="s">
        <v>1473</v>
      </c>
      <c r="E441" s="2" t="s">
        <v>1980</v>
      </c>
      <c r="F441" s="2" t="s">
        <v>1980</v>
      </c>
      <c r="G441" s="5" t="str" cm="1">
        <f t="array" ref="G441">IFERROR(INDEX(City_Lookup!$B$2:$B$297,MATCH(TRUE,ISNUMBER(SEARCH(City_Lookup!$A$2:$A$297,$F441&amp;" "&amp;$E441)),0)),"Not Available")</f>
        <v>Makwanpur</v>
      </c>
      <c r="H441" s="5" t="str">
        <f>IFERROR(INDEX(City_Lookup!$E$2:$E$66,MATCH($G441,City_Lookup!$D$2:$D$66,0)),"Not Available")</f>
        <v>Bagmati</v>
      </c>
      <c r="I441" s="2" t="s">
        <v>1259</v>
      </c>
      <c r="J441" s="5" t="s">
        <v>29</v>
      </c>
      <c r="K441" s="5">
        <v>30</v>
      </c>
      <c r="L441" s="2"/>
      <c r="M441" s="5">
        <f t="shared" si="45"/>
        <v>30</v>
      </c>
      <c r="N441" s="2" t="s">
        <v>2492</v>
      </c>
      <c r="O441" s="2">
        <v>1</v>
      </c>
      <c r="P441" s="2" t="s">
        <v>27</v>
      </c>
      <c r="Q441" s="2" t="s">
        <v>1981</v>
      </c>
      <c r="R441" s="2" t="s">
        <v>33</v>
      </c>
      <c r="S441" s="2" t="s">
        <v>27</v>
      </c>
      <c r="T441" s="2" t="s">
        <v>34</v>
      </c>
      <c r="U441" s="2" t="s">
        <v>35</v>
      </c>
      <c r="V441" s="2" t="s">
        <v>36</v>
      </c>
      <c r="W441" s="2" t="s">
        <v>37</v>
      </c>
      <c r="X441" s="6" t="s">
        <v>2486</v>
      </c>
      <c r="Y441" s="6" t="s">
        <v>2499</v>
      </c>
      <c r="Z441" t="str">
        <f t="shared" si="39"/>
        <v>97714153051</v>
      </c>
      <c r="AA441" t="str">
        <f t="shared" si="40"/>
        <v>14153051</v>
      </c>
      <c r="AB441" t="str">
        <f t="shared" si="41"/>
        <v>14153051</v>
      </c>
      <c r="AC441" t="str">
        <f t="shared" si="42"/>
        <v>+97714153051</v>
      </c>
      <c r="AD441" t="str">
        <f t="shared" si="43"/>
        <v>Landline</v>
      </c>
      <c r="AE441" t="str">
        <f t="shared" si="44"/>
        <v>Valid</v>
      </c>
    </row>
    <row r="442" spans="1:31" x14ac:dyDescent="0.3">
      <c r="A442" s="2" t="s">
        <v>1982</v>
      </c>
      <c r="B442" s="2" t="s">
        <v>1983</v>
      </c>
      <c r="C442" s="2" t="s">
        <v>1984</v>
      </c>
      <c r="D442" s="2" t="s">
        <v>1479</v>
      </c>
      <c r="E442" s="2" t="s">
        <v>1985</v>
      </c>
      <c r="F442" s="2" t="s">
        <v>1985</v>
      </c>
      <c r="G442" s="5" t="str" cm="1">
        <f t="array" ref="G442">IFERROR(INDEX(City_Lookup!$B$2:$B$297,MATCH(TRUE,ISNUMBER(SEARCH(City_Lookup!$A$2:$A$297,$F442&amp;" "&amp;$E442)),0)),"Not Available")</f>
        <v>Makwanpur</v>
      </c>
      <c r="H442" s="5" t="str">
        <f>IFERROR(INDEX(City_Lookup!$E$2:$E$66,MATCH($G442,City_Lookup!$D$2:$D$66,0)),"Not Available")</f>
        <v>Bagmati</v>
      </c>
      <c r="I442" s="2" t="s">
        <v>1259</v>
      </c>
      <c r="J442" s="5" t="s">
        <v>29</v>
      </c>
      <c r="K442" s="5">
        <v>30</v>
      </c>
      <c r="L442" s="2"/>
      <c r="M442" s="5">
        <f t="shared" si="45"/>
        <v>30</v>
      </c>
      <c r="N442" s="2" t="s">
        <v>2491</v>
      </c>
      <c r="O442" s="2">
        <v>1</v>
      </c>
      <c r="P442" s="2" t="s">
        <v>27</v>
      </c>
      <c r="Q442" s="2" t="s">
        <v>1986</v>
      </c>
      <c r="R442" s="2" t="s">
        <v>33</v>
      </c>
      <c r="S442" s="2" t="s">
        <v>27</v>
      </c>
      <c r="T442" s="2" t="s">
        <v>34</v>
      </c>
      <c r="U442" s="2" t="s">
        <v>35</v>
      </c>
      <c r="V442" s="2" t="s">
        <v>36</v>
      </c>
      <c r="W442" s="2" t="s">
        <v>37</v>
      </c>
      <c r="X442" s="6" t="s">
        <v>2486</v>
      </c>
      <c r="Y442" s="6" t="s">
        <v>2499</v>
      </c>
      <c r="Z442" t="str">
        <f t="shared" si="39"/>
        <v>97714153051</v>
      </c>
      <c r="AA442" t="str">
        <f t="shared" si="40"/>
        <v>14153051</v>
      </c>
      <c r="AB442" t="str">
        <f t="shared" si="41"/>
        <v>14153051</v>
      </c>
      <c r="AC442" t="str">
        <f t="shared" si="42"/>
        <v>+97714153051</v>
      </c>
      <c r="AD442" t="str">
        <f t="shared" si="43"/>
        <v>Landline</v>
      </c>
      <c r="AE442" t="str">
        <f t="shared" si="44"/>
        <v>Valid</v>
      </c>
    </row>
    <row r="443" spans="1:31" x14ac:dyDescent="0.3">
      <c r="A443" s="2" t="s">
        <v>1987</v>
      </c>
      <c r="B443" s="2" t="s">
        <v>1988</v>
      </c>
      <c r="C443" s="2" t="s">
        <v>1989</v>
      </c>
      <c r="D443" s="2" t="s">
        <v>1473</v>
      </c>
      <c r="E443" s="2" t="s">
        <v>1990</v>
      </c>
      <c r="F443" s="2" t="s">
        <v>1990</v>
      </c>
      <c r="G443" s="5" t="str" cm="1">
        <f t="array" ref="G443">IFERROR(INDEX(City_Lookup!$B$2:$B$297,MATCH(TRUE,ISNUMBER(SEARCH(City_Lookup!$A$2:$A$297,$F443&amp;" "&amp;$E443)),0)),"Not Available")</f>
        <v>Makwanpur</v>
      </c>
      <c r="H443" s="5" t="str">
        <f>IFERROR(INDEX(City_Lookup!$E$2:$E$66,MATCH($G443,City_Lookup!$D$2:$D$66,0)),"Not Available")</f>
        <v>Bagmati</v>
      </c>
      <c r="I443" s="2" t="s">
        <v>1259</v>
      </c>
      <c r="J443" s="5" t="s">
        <v>29</v>
      </c>
      <c r="K443" s="5">
        <v>30</v>
      </c>
      <c r="L443" s="2"/>
      <c r="M443" s="5">
        <f t="shared" si="45"/>
        <v>30</v>
      </c>
      <c r="N443" s="2" t="s">
        <v>2492</v>
      </c>
      <c r="O443" s="2">
        <v>1</v>
      </c>
      <c r="P443" s="2" t="s">
        <v>27</v>
      </c>
      <c r="Q443" s="2" t="s">
        <v>1991</v>
      </c>
      <c r="R443" s="2" t="s">
        <v>33</v>
      </c>
      <c r="S443" s="2" t="s">
        <v>27</v>
      </c>
      <c r="T443" s="2" t="s">
        <v>34</v>
      </c>
      <c r="U443" s="2" t="s">
        <v>35</v>
      </c>
      <c r="V443" s="2" t="s">
        <v>36</v>
      </c>
      <c r="W443" s="2" t="s">
        <v>37</v>
      </c>
      <c r="X443" s="6" t="s">
        <v>2486</v>
      </c>
      <c r="Y443" s="6" t="s">
        <v>2499</v>
      </c>
      <c r="Z443" t="str">
        <f t="shared" si="39"/>
        <v>97714153051</v>
      </c>
      <c r="AA443" t="str">
        <f t="shared" si="40"/>
        <v>14153051</v>
      </c>
      <c r="AB443" t="str">
        <f t="shared" si="41"/>
        <v>14153051</v>
      </c>
      <c r="AC443" t="str">
        <f t="shared" si="42"/>
        <v>+97714153051</v>
      </c>
      <c r="AD443" t="str">
        <f t="shared" si="43"/>
        <v>Landline</v>
      </c>
      <c r="AE443" t="str">
        <f t="shared" si="44"/>
        <v>Valid</v>
      </c>
    </row>
    <row r="444" spans="1:31" x14ac:dyDescent="0.3">
      <c r="A444" s="2" t="s">
        <v>1992</v>
      </c>
      <c r="B444" s="2" t="s">
        <v>1993</v>
      </c>
      <c r="C444" s="2" t="s">
        <v>1994</v>
      </c>
      <c r="D444" s="2" t="s">
        <v>1479</v>
      </c>
      <c r="E444" s="2" t="s">
        <v>1995</v>
      </c>
      <c r="F444" s="2" t="s">
        <v>1995</v>
      </c>
      <c r="G444" s="5" t="str" cm="1">
        <f t="array" ref="G444">IFERROR(INDEX(City_Lookup!$B$2:$B$297,MATCH(TRUE,ISNUMBER(SEARCH(City_Lookup!$A$2:$A$297,$F444&amp;" "&amp;$E444)),0)),"Not Available")</f>
        <v>Makwanpur</v>
      </c>
      <c r="H444" s="5" t="str">
        <f>IFERROR(INDEX(City_Lookup!$E$2:$E$66,MATCH($G444,City_Lookup!$D$2:$D$66,0)),"Not Available")</f>
        <v>Bagmati</v>
      </c>
      <c r="I444" s="2" t="s">
        <v>1259</v>
      </c>
      <c r="J444" s="5" t="s">
        <v>29</v>
      </c>
      <c r="K444" s="5">
        <v>30</v>
      </c>
      <c r="L444" s="2"/>
      <c r="M444" s="5">
        <f t="shared" si="45"/>
        <v>30</v>
      </c>
      <c r="N444" s="2" t="s">
        <v>2491</v>
      </c>
      <c r="O444" s="2">
        <v>1</v>
      </c>
      <c r="P444" s="2" t="s">
        <v>27</v>
      </c>
      <c r="Q444" s="2" t="s">
        <v>1996</v>
      </c>
      <c r="R444" s="2" t="s">
        <v>33</v>
      </c>
      <c r="S444" s="2" t="s">
        <v>27</v>
      </c>
      <c r="T444" s="2" t="s">
        <v>34</v>
      </c>
      <c r="U444" s="2" t="s">
        <v>35</v>
      </c>
      <c r="V444" s="2" t="s">
        <v>36</v>
      </c>
      <c r="W444" s="2" t="s">
        <v>37</v>
      </c>
      <c r="X444" s="6" t="s">
        <v>2486</v>
      </c>
      <c r="Y444" s="6" t="s">
        <v>2499</v>
      </c>
      <c r="Z444" t="str">
        <f t="shared" si="39"/>
        <v>97714153051</v>
      </c>
      <c r="AA444" t="str">
        <f t="shared" si="40"/>
        <v>14153051</v>
      </c>
      <c r="AB444" t="str">
        <f t="shared" si="41"/>
        <v>14153051</v>
      </c>
      <c r="AC444" t="str">
        <f t="shared" si="42"/>
        <v>+97714153051</v>
      </c>
      <c r="AD444" t="str">
        <f t="shared" si="43"/>
        <v>Landline</v>
      </c>
      <c r="AE444" t="str">
        <f t="shared" si="44"/>
        <v>Valid</v>
      </c>
    </row>
    <row r="445" spans="1:31" x14ac:dyDescent="0.3">
      <c r="A445" s="2" t="s">
        <v>1997</v>
      </c>
      <c r="B445" s="2" t="s">
        <v>1998</v>
      </c>
      <c r="C445" s="2" t="s">
        <v>651</v>
      </c>
      <c r="D445" s="2" t="s">
        <v>1473</v>
      </c>
      <c r="E445" s="2" t="s">
        <v>1999</v>
      </c>
      <c r="F445" s="2" t="s">
        <v>1999</v>
      </c>
      <c r="G445" s="5" t="str" cm="1">
        <f t="array" ref="G445">IFERROR(INDEX(City_Lookup!$B$2:$B$297,MATCH(TRUE,ISNUMBER(SEARCH(City_Lookup!$A$2:$A$297,$F445&amp;" "&amp;$E445)),0)),"Not Available")</f>
        <v>Kathmandu</v>
      </c>
      <c r="H445" s="5" t="str">
        <f>IFERROR(INDEX(City_Lookup!$E$2:$E$66,MATCH($G445,City_Lookup!$D$2:$D$66,0)),"Not Available")</f>
        <v>Bagmati</v>
      </c>
      <c r="I445" s="2" t="s">
        <v>1259</v>
      </c>
      <c r="J445" s="5" t="s">
        <v>29</v>
      </c>
      <c r="K445" s="5">
        <v>30</v>
      </c>
      <c r="L445" s="2"/>
      <c r="M445" s="5">
        <f t="shared" si="45"/>
        <v>30</v>
      </c>
      <c r="N445" s="2" t="s">
        <v>2491</v>
      </c>
      <c r="O445" s="2">
        <v>1</v>
      </c>
      <c r="P445" s="2" t="s">
        <v>27</v>
      </c>
      <c r="Q445" s="2" t="s">
        <v>2000</v>
      </c>
      <c r="R445" s="2" t="s">
        <v>33</v>
      </c>
      <c r="S445" s="2" t="s">
        <v>27</v>
      </c>
      <c r="T445" s="2" t="s">
        <v>34</v>
      </c>
      <c r="U445" s="2" t="s">
        <v>35</v>
      </c>
      <c r="V445" s="2" t="s">
        <v>36</v>
      </c>
      <c r="W445" s="2" t="s">
        <v>37</v>
      </c>
      <c r="X445" s="4" t="s">
        <v>652</v>
      </c>
      <c r="Y445" s="4" t="s">
        <v>2502</v>
      </c>
      <c r="Z445" t="str">
        <f t="shared" si="39"/>
        <v>977015252125</v>
      </c>
      <c r="AA445" t="str">
        <f t="shared" si="40"/>
        <v>015252125</v>
      </c>
      <c r="AB445" t="str">
        <f t="shared" si="41"/>
        <v>15252125</v>
      </c>
      <c r="AC445" t="str">
        <f t="shared" si="42"/>
        <v>+97715252125</v>
      </c>
      <c r="AD445" t="str">
        <f t="shared" si="43"/>
        <v>Landline</v>
      </c>
      <c r="AE445" t="str">
        <f t="shared" si="44"/>
        <v>Valid</v>
      </c>
    </row>
    <row r="446" spans="1:31" x14ac:dyDescent="0.3">
      <c r="A446" s="2" t="s">
        <v>2001</v>
      </c>
      <c r="B446" s="2" t="s">
        <v>2002</v>
      </c>
      <c r="C446" s="2" t="s">
        <v>2003</v>
      </c>
      <c r="D446" s="2" t="s">
        <v>1473</v>
      </c>
      <c r="E446" s="2" t="s">
        <v>2004</v>
      </c>
      <c r="F446" s="2" t="s">
        <v>2004</v>
      </c>
      <c r="G446" s="5" t="str" cm="1">
        <f t="array" ref="G446">IFERROR(INDEX(City_Lookup!$B$2:$B$297,MATCH(TRUE,ISNUMBER(SEARCH(City_Lookup!$A$2:$A$297,$F446&amp;" "&amp;$E446)),0)),"Not Available")</f>
        <v>Kathmandu</v>
      </c>
      <c r="H446" s="5" t="str">
        <f>IFERROR(INDEX(City_Lookup!$E$2:$E$66,MATCH($G446,City_Lookup!$D$2:$D$66,0)),"Not Available")</f>
        <v>Bagmati</v>
      </c>
      <c r="I446" s="2" t="s">
        <v>1259</v>
      </c>
      <c r="J446" s="5" t="s">
        <v>29</v>
      </c>
      <c r="K446" s="5">
        <v>30</v>
      </c>
      <c r="L446" s="2"/>
      <c r="M446" s="5">
        <f t="shared" si="45"/>
        <v>30</v>
      </c>
      <c r="N446" s="2" t="s">
        <v>2491</v>
      </c>
      <c r="O446" s="2">
        <v>1</v>
      </c>
      <c r="P446" s="2" t="s">
        <v>27</v>
      </c>
      <c r="Q446" s="2" t="s">
        <v>2005</v>
      </c>
      <c r="R446" s="2" t="s">
        <v>33</v>
      </c>
      <c r="S446" s="2" t="s">
        <v>27</v>
      </c>
      <c r="T446" s="2" t="s">
        <v>34</v>
      </c>
      <c r="U446" s="2" t="s">
        <v>35</v>
      </c>
      <c r="V446" s="2" t="s">
        <v>36</v>
      </c>
      <c r="W446" s="2" t="s">
        <v>37</v>
      </c>
      <c r="X446" s="6" t="s">
        <v>2486</v>
      </c>
      <c r="Y446" s="6" t="s">
        <v>2499</v>
      </c>
      <c r="Z446" t="str">
        <f t="shared" si="39"/>
        <v>97714153051</v>
      </c>
      <c r="AA446" t="str">
        <f t="shared" si="40"/>
        <v>14153051</v>
      </c>
      <c r="AB446" t="str">
        <f t="shared" si="41"/>
        <v>14153051</v>
      </c>
      <c r="AC446" t="str">
        <f t="shared" si="42"/>
        <v>+97714153051</v>
      </c>
      <c r="AD446" t="str">
        <f t="shared" si="43"/>
        <v>Landline</v>
      </c>
      <c r="AE446" t="str">
        <f t="shared" si="44"/>
        <v>Valid</v>
      </c>
    </row>
    <row r="447" spans="1:31" x14ac:dyDescent="0.3">
      <c r="A447" s="2" t="s">
        <v>2006</v>
      </c>
      <c r="B447" s="2" t="s">
        <v>2007</v>
      </c>
      <c r="C447" s="2" t="s">
        <v>2008</v>
      </c>
      <c r="D447" s="2" t="s">
        <v>1473</v>
      </c>
      <c r="E447" s="2" t="s">
        <v>2009</v>
      </c>
      <c r="F447" s="2" t="s">
        <v>2009</v>
      </c>
      <c r="G447" s="5" t="str" cm="1">
        <f t="array" ref="G447">IFERROR(INDEX(City_Lookup!$B$2:$B$297,MATCH(TRUE,ISNUMBER(SEARCH(City_Lookup!$A$2:$A$297,$F447&amp;" "&amp;$E447)),0)),"Not Available")</f>
        <v>Lalitpur</v>
      </c>
      <c r="H447" s="5" t="str">
        <f>IFERROR(INDEX(City_Lookup!$E$2:$E$66,MATCH($G447,City_Lookup!$D$2:$D$66,0)),"Not Available")</f>
        <v>Bagmati</v>
      </c>
      <c r="I447" s="2" t="s">
        <v>1259</v>
      </c>
      <c r="J447" s="5" t="s">
        <v>29</v>
      </c>
      <c r="K447" s="5">
        <v>30</v>
      </c>
      <c r="L447" s="2"/>
      <c r="M447" s="5">
        <f t="shared" si="45"/>
        <v>30</v>
      </c>
      <c r="N447" s="2" t="s">
        <v>2491</v>
      </c>
      <c r="O447" s="2">
        <v>1</v>
      </c>
      <c r="P447" s="2" t="s">
        <v>27</v>
      </c>
      <c r="Q447" s="2" t="s">
        <v>2010</v>
      </c>
      <c r="R447" s="2" t="s">
        <v>33</v>
      </c>
      <c r="S447" s="2" t="s">
        <v>27</v>
      </c>
      <c r="T447" s="2" t="s">
        <v>34</v>
      </c>
      <c r="U447" s="2" t="s">
        <v>35</v>
      </c>
      <c r="V447" s="2" t="s">
        <v>36</v>
      </c>
      <c r="W447" s="2" t="s">
        <v>37</v>
      </c>
      <c r="X447" s="6" t="s">
        <v>2486</v>
      </c>
      <c r="Y447" s="6" t="s">
        <v>2499</v>
      </c>
      <c r="Z447" t="str">
        <f t="shared" si="39"/>
        <v>97714153051</v>
      </c>
      <c r="AA447" t="str">
        <f t="shared" si="40"/>
        <v>14153051</v>
      </c>
      <c r="AB447" t="str">
        <f t="shared" si="41"/>
        <v>14153051</v>
      </c>
      <c r="AC447" t="str">
        <f t="shared" si="42"/>
        <v>+97714153051</v>
      </c>
      <c r="AD447" t="str">
        <f t="shared" si="43"/>
        <v>Landline</v>
      </c>
      <c r="AE447" t="str">
        <f t="shared" si="44"/>
        <v>Valid</v>
      </c>
    </row>
    <row r="448" spans="1:31" x14ac:dyDescent="0.3">
      <c r="A448" s="2" t="s">
        <v>2011</v>
      </c>
      <c r="B448" s="2" t="s">
        <v>2012</v>
      </c>
      <c r="C448" s="2" t="s">
        <v>2013</v>
      </c>
      <c r="D448" s="2" t="s">
        <v>1473</v>
      </c>
      <c r="E448" s="2" t="s">
        <v>2014</v>
      </c>
      <c r="F448" s="2" t="s">
        <v>2014</v>
      </c>
      <c r="G448" s="5" t="str" cm="1">
        <f t="array" ref="G448">IFERROR(INDEX(City_Lookup!$B$2:$B$297,MATCH(TRUE,ISNUMBER(SEARCH(City_Lookup!$A$2:$A$297,$F448&amp;" "&amp;$E448)),0)),"Not Available")</f>
        <v>Kathmandu</v>
      </c>
      <c r="H448" s="5" t="str">
        <f>IFERROR(INDEX(City_Lookup!$E$2:$E$66,MATCH($G448,City_Lookup!$D$2:$D$66,0)),"Not Available")</f>
        <v>Bagmati</v>
      </c>
      <c r="I448" s="2" t="s">
        <v>1259</v>
      </c>
      <c r="J448" s="5" t="s">
        <v>29</v>
      </c>
      <c r="K448" s="5">
        <v>30</v>
      </c>
      <c r="L448" s="2"/>
      <c r="M448" s="5">
        <f t="shared" si="45"/>
        <v>30</v>
      </c>
      <c r="N448" s="2" t="s">
        <v>2491</v>
      </c>
      <c r="O448" s="2">
        <v>1</v>
      </c>
      <c r="P448" s="2" t="s">
        <v>27</v>
      </c>
      <c r="Q448" s="2" t="s">
        <v>2015</v>
      </c>
      <c r="R448" s="2" t="s">
        <v>33</v>
      </c>
      <c r="S448" s="2" t="s">
        <v>27</v>
      </c>
      <c r="T448" s="2" t="s">
        <v>34</v>
      </c>
      <c r="U448" s="2" t="s">
        <v>35</v>
      </c>
      <c r="V448" s="2" t="s">
        <v>36</v>
      </c>
      <c r="W448" s="2" t="s">
        <v>37</v>
      </c>
      <c r="X448" s="6" t="s">
        <v>2486</v>
      </c>
      <c r="Y448" s="6" t="s">
        <v>2499</v>
      </c>
      <c r="Z448" t="str">
        <f t="shared" si="39"/>
        <v>97714153051</v>
      </c>
      <c r="AA448" t="str">
        <f t="shared" si="40"/>
        <v>14153051</v>
      </c>
      <c r="AB448" t="str">
        <f t="shared" si="41"/>
        <v>14153051</v>
      </c>
      <c r="AC448" t="str">
        <f t="shared" si="42"/>
        <v>+97714153051</v>
      </c>
      <c r="AD448" t="str">
        <f t="shared" si="43"/>
        <v>Landline</v>
      </c>
      <c r="AE448" t="str">
        <f t="shared" si="44"/>
        <v>Valid</v>
      </c>
    </row>
    <row r="449" spans="1:31" x14ac:dyDescent="0.3">
      <c r="A449" s="2" t="s">
        <v>2016</v>
      </c>
      <c r="B449" s="2" t="s">
        <v>2017</v>
      </c>
      <c r="C449" s="2" t="s">
        <v>2018</v>
      </c>
      <c r="D449" s="2" t="s">
        <v>248</v>
      </c>
      <c r="E449" s="2" t="s">
        <v>2014</v>
      </c>
      <c r="F449" s="2" t="s">
        <v>2014</v>
      </c>
      <c r="G449" s="5" t="str" cm="1">
        <f t="array" ref="G449">IFERROR(INDEX(City_Lookup!$B$2:$B$297,MATCH(TRUE,ISNUMBER(SEARCH(City_Lookup!$A$2:$A$297,$F449&amp;" "&amp;$E449)),0)),"Not Available")</f>
        <v>Kathmandu</v>
      </c>
      <c r="H449" s="5" t="str">
        <f>IFERROR(INDEX(City_Lookup!$E$2:$E$66,MATCH($G449,City_Lookup!$D$2:$D$66,0)),"Not Available")</f>
        <v>Bagmati</v>
      </c>
      <c r="I449" s="2" t="s">
        <v>1259</v>
      </c>
      <c r="J449" s="5" t="s">
        <v>29</v>
      </c>
      <c r="K449" s="5">
        <v>30</v>
      </c>
      <c r="L449" s="2"/>
      <c r="M449" s="5">
        <f t="shared" si="45"/>
        <v>30</v>
      </c>
      <c r="N449" s="2" t="s">
        <v>2491</v>
      </c>
      <c r="O449" s="2">
        <v>1</v>
      </c>
      <c r="P449" s="2" t="s">
        <v>27</v>
      </c>
      <c r="Q449" s="2" t="s">
        <v>2019</v>
      </c>
      <c r="R449" s="2" t="s">
        <v>33</v>
      </c>
      <c r="S449" s="2" t="s">
        <v>27</v>
      </c>
      <c r="T449" s="2" t="s">
        <v>34</v>
      </c>
      <c r="U449" s="2" t="s">
        <v>35</v>
      </c>
      <c r="V449" s="2" t="s">
        <v>36</v>
      </c>
      <c r="W449" s="2" t="s">
        <v>37</v>
      </c>
      <c r="X449" s="4" t="s">
        <v>2489</v>
      </c>
      <c r="Y449" s="4" t="s">
        <v>2500</v>
      </c>
      <c r="Z449" t="str">
        <f t="shared" si="39"/>
        <v>9779802396101</v>
      </c>
      <c r="AA449" t="str">
        <f t="shared" si="40"/>
        <v>9802396101</v>
      </c>
      <c r="AB449" t="str">
        <f t="shared" si="41"/>
        <v>9802396101</v>
      </c>
      <c r="AC449" t="str">
        <f t="shared" si="42"/>
        <v>+9779802396101</v>
      </c>
      <c r="AD449" t="str">
        <f t="shared" si="43"/>
        <v>Mobile</v>
      </c>
      <c r="AE449" t="str">
        <f t="shared" si="44"/>
        <v>Valid</v>
      </c>
    </row>
    <row r="450" spans="1:31" x14ac:dyDescent="0.3">
      <c r="A450" s="2" t="s">
        <v>2020</v>
      </c>
      <c r="B450" s="2" t="s">
        <v>2021</v>
      </c>
      <c r="C450" s="2" t="s">
        <v>2022</v>
      </c>
      <c r="D450" s="2" t="s">
        <v>1229</v>
      </c>
      <c r="E450" s="2" t="s">
        <v>2023</v>
      </c>
      <c r="F450" s="2" t="s">
        <v>2023</v>
      </c>
      <c r="G450" s="5" t="str" cm="1">
        <f t="array" ref="G450">IFERROR(INDEX(City_Lookup!$B$2:$B$297,MATCH(TRUE,ISNUMBER(SEARCH(City_Lookup!$A$2:$A$297,$F450&amp;" "&amp;$E450)),0)),"Not Available")</f>
        <v>Kathmandu</v>
      </c>
      <c r="H450" s="5" t="str">
        <f>IFERROR(INDEX(City_Lookup!$E$2:$E$66,MATCH($G450,City_Lookup!$D$2:$D$66,0)),"Not Available")</f>
        <v>Bagmati</v>
      </c>
      <c r="I450" s="2" t="s">
        <v>1259</v>
      </c>
      <c r="J450" s="5" t="s">
        <v>29</v>
      </c>
      <c r="K450" s="5">
        <v>30</v>
      </c>
      <c r="L450" s="2"/>
      <c r="M450" s="5">
        <f t="shared" ref="M450:M481" si="46">IF($K450&lt;&gt;"",$K450,$L450)</f>
        <v>30</v>
      </c>
      <c r="N450" s="2" t="s">
        <v>2491</v>
      </c>
      <c r="O450" s="2">
        <v>1</v>
      </c>
      <c r="P450" s="2" t="s">
        <v>27</v>
      </c>
      <c r="Q450" s="2" t="s">
        <v>2024</v>
      </c>
      <c r="R450" s="2" t="s">
        <v>33</v>
      </c>
      <c r="S450" s="2" t="s">
        <v>27</v>
      </c>
      <c r="T450" s="2" t="s">
        <v>34</v>
      </c>
      <c r="U450" s="2" t="s">
        <v>35</v>
      </c>
      <c r="V450" s="2" t="s">
        <v>36</v>
      </c>
      <c r="W450" s="2" t="s">
        <v>37</v>
      </c>
      <c r="X450" s="6" t="s">
        <v>2486</v>
      </c>
      <c r="Y450" s="6" t="s">
        <v>2499</v>
      </c>
      <c r="Z450" t="str">
        <f t="shared" si="39"/>
        <v>97714153051</v>
      </c>
      <c r="AA450" t="str">
        <f t="shared" si="40"/>
        <v>14153051</v>
      </c>
      <c r="AB450" t="str">
        <f t="shared" si="41"/>
        <v>14153051</v>
      </c>
      <c r="AC450" t="str">
        <f t="shared" si="42"/>
        <v>+97714153051</v>
      </c>
      <c r="AD450" t="str">
        <f t="shared" si="43"/>
        <v>Landline</v>
      </c>
      <c r="AE450" t="str">
        <f t="shared" si="44"/>
        <v>Valid</v>
      </c>
    </row>
    <row r="451" spans="1:31" x14ac:dyDescent="0.3">
      <c r="A451" s="2" t="s">
        <v>2025</v>
      </c>
      <c r="B451" s="2" t="s">
        <v>2026</v>
      </c>
      <c r="C451" s="2" t="s">
        <v>2027</v>
      </c>
      <c r="D451" s="2" t="s">
        <v>2028</v>
      </c>
      <c r="E451" s="2" t="s">
        <v>2029</v>
      </c>
      <c r="F451" s="2" t="s">
        <v>2029</v>
      </c>
      <c r="G451" s="5" t="str" cm="1">
        <f t="array" ref="G451">IFERROR(INDEX(City_Lookup!$B$2:$B$297,MATCH(TRUE,ISNUMBER(SEARCH(City_Lookup!$A$2:$A$297,$F451&amp;" "&amp;$E451)),0)),"Not Available")</f>
        <v>Kathmandu</v>
      </c>
      <c r="H451" s="5" t="str">
        <f>IFERROR(INDEX(City_Lookup!$E$2:$E$66,MATCH($G451,City_Lookup!$D$2:$D$66,0)),"Not Available")</f>
        <v>Bagmati</v>
      </c>
      <c r="I451" s="2" t="s">
        <v>1259</v>
      </c>
      <c r="J451" s="5" t="s">
        <v>29</v>
      </c>
      <c r="K451" s="5">
        <v>30</v>
      </c>
      <c r="L451" s="2"/>
      <c r="M451" s="5">
        <f t="shared" si="46"/>
        <v>30</v>
      </c>
      <c r="N451" s="2" t="s">
        <v>2491</v>
      </c>
      <c r="O451" s="2">
        <v>1</v>
      </c>
      <c r="P451" s="2" t="s">
        <v>27</v>
      </c>
      <c r="Q451" s="2" t="s">
        <v>2030</v>
      </c>
      <c r="R451" s="2" t="s">
        <v>33</v>
      </c>
      <c r="S451" s="2" t="s">
        <v>27</v>
      </c>
      <c r="T451" s="2" t="s">
        <v>34</v>
      </c>
      <c r="U451" s="2" t="s">
        <v>35</v>
      </c>
      <c r="V451" s="2" t="s">
        <v>36</v>
      </c>
      <c r="W451" s="2" t="s">
        <v>37</v>
      </c>
      <c r="X451" s="6" t="s">
        <v>2486</v>
      </c>
      <c r="Y451" s="6" t="s">
        <v>2499</v>
      </c>
      <c r="Z451" t="str">
        <f t="shared" ref="Z451:Z514" si="47">IF($X451="Not Available","",TRIM(LEFT(SUBSTITUTE(SUBSTITUTE(SUBSTITUTE(SUBSTITUTE(SUBSTITUTE(SUBSTITUTE(SUBSTITUTE($X451," ",""),"-",""),"(",""),")",""),".",""),"+","")&amp;"/","/",REPT(" ",60)),60)))</f>
        <v>97714153051</v>
      </c>
      <c r="AA451" t="str">
        <f t="shared" ref="AA451:AA514" si="48">IF($Z451="","",IF(ISNUMBER(-$Z451),IF(LEFT($Z451,3)="977",MID($Z451,4,20),$Z451),IF(ISNUMBER(SEARCH("977",$Z451)),MID($Z451,SEARCH("977",$Z451)+3,20),$Z451)))</f>
        <v>14153051</v>
      </c>
      <c r="AB451" t="str">
        <f t="shared" ref="AB451:AB514" si="49">IF($AA451="","",IF(LEFT($AA451,1)="0",MID($AA451,2,20),$AA451))</f>
        <v>14153051</v>
      </c>
      <c r="AC451" t="str">
        <f t="shared" ref="AC451:AC514" si="50">IF($AB451="","Not Available","+977"&amp;$AB451)</f>
        <v>+97714153051</v>
      </c>
      <c r="AD451" t="str">
        <f t="shared" ref="AD451:AD514" si="51">IF($AB451="","Not Available",IF(AND(LEN($AB451)=10,LEFT($AB451,1)="9"),"Mobile",IF(AND(LEN($AB451)&gt;=8,LEN($AB451)&lt;=9),IF(ISNUMBER(SEARCH("/",$X451)),"Landline (multiple lines)","Landline"),"Unrecognised")))</f>
        <v>Landline</v>
      </c>
      <c r="AE451" t="str">
        <f t="shared" ref="AE451:AE514" si="52">IF($AB451="","Not Available",IF(AND(ISNUMBER(-$AB451),$AD451&lt;&gt;"Unrecognised"),"Valid","Check format"))</f>
        <v>Valid</v>
      </c>
    </row>
    <row r="452" spans="1:31" x14ac:dyDescent="0.3">
      <c r="A452" s="2" t="s">
        <v>2031</v>
      </c>
      <c r="B452" s="2" t="s">
        <v>2032</v>
      </c>
      <c r="C452" s="2" t="s">
        <v>2033</v>
      </c>
      <c r="D452" s="2" t="s">
        <v>26</v>
      </c>
      <c r="E452" s="2" t="s">
        <v>2034</v>
      </c>
      <c r="F452" s="2" t="s">
        <v>2034</v>
      </c>
      <c r="G452" s="5" t="str" cm="1">
        <f t="array" ref="G452">IFERROR(INDEX(City_Lookup!$B$2:$B$297,MATCH(TRUE,ISNUMBER(SEARCH(City_Lookup!$A$2:$A$297,$F452&amp;" "&amp;$E452)),0)),"Not Available")</f>
        <v>Kathmandu</v>
      </c>
      <c r="H452" s="5" t="str">
        <f>IFERROR(INDEX(City_Lookup!$E$2:$E$66,MATCH($G452,City_Lookup!$D$2:$D$66,0)),"Not Available")</f>
        <v>Bagmati</v>
      </c>
      <c r="I452" s="2" t="s">
        <v>1259</v>
      </c>
      <c r="J452" s="5" t="s">
        <v>29</v>
      </c>
      <c r="K452" s="5">
        <v>30</v>
      </c>
      <c r="L452" s="2"/>
      <c r="M452" s="5">
        <f t="shared" si="46"/>
        <v>30</v>
      </c>
      <c r="N452" s="2" t="s">
        <v>2491</v>
      </c>
      <c r="O452" s="2">
        <v>1</v>
      </c>
      <c r="P452" s="2" t="s">
        <v>27</v>
      </c>
      <c r="Q452" s="2" t="s">
        <v>2035</v>
      </c>
      <c r="R452" s="2" t="s">
        <v>33</v>
      </c>
      <c r="S452" s="2" t="s">
        <v>27</v>
      </c>
      <c r="T452" s="2" t="s">
        <v>34</v>
      </c>
      <c r="U452" s="2" t="s">
        <v>35</v>
      </c>
      <c r="V452" s="2" t="s">
        <v>36</v>
      </c>
      <c r="W452" s="2" t="s">
        <v>37</v>
      </c>
      <c r="X452" s="4" t="s">
        <v>2486</v>
      </c>
      <c r="Y452" s="4" t="s">
        <v>2500</v>
      </c>
      <c r="Z452" t="str">
        <f t="shared" si="47"/>
        <v>97714153051</v>
      </c>
      <c r="AA452" t="str">
        <f t="shared" si="48"/>
        <v>14153051</v>
      </c>
      <c r="AB452" t="str">
        <f t="shared" si="49"/>
        <v>14153051</v>
      </c>
      <c r="AC452" t="str">
        <f t="shared" si="50"/>
        <v>+97714153051</v>
      </c>
      <c r="AD452" t="str">
        <f t="shared" si="51"/>
        <v>Landline</v>
      </c>
      <c r="AE452" t="str">
        <f t="shared" si="52"/>
        <v>Valid</v>
      </c>
    </row>
    <row r="453" spans="1:31" x14ac:dyDescent="0.3">
      <c r="A453" s="2" t="s">
        <v>2036</v>
      </c>
      <c r="B453" s="2" t="s">
        <v>2037</v>
      </c>
      <c r="C453" s="2" t="s">
        <v>389</v>
      </c>
      <c r="D453" s="2" t="s">
        <v>1473</v>
      </c>
      <c r="E453" s="2" t="s">
        <v>2038</v>
      </c>
      <c r="F453" s="2" t="s">
        <v>2038</v>
      </c>
      <c r="G453" s="5" t="str" cm="1">
        <f t="array" ref="G453">IFERROR(INDEX(City_Lookup!$B$2:$B$297,MATCH(TRUE,ISNUMBER(SEARCH(City_Lookup!$A$2:$A$297,$F453&amp;" "&amp;$E453)),0)),"Not Available")</f>
        <v>Lalitpur</v>
      </c>
      <c r="H453" s="5" t="str">
        <f>IFERROR(INDEX(City_Lookup!$E$2:$E$66,MATCH($G453,City_Lookup!$D$2:$D$66,0)),"Not Available")</f>
        <v>Bagmati</v>
      </c>
      <c r="I453" s="2" t="s">
        <v>1259</v>
      </c>
      <c r="J453" s="5" t="s">
        <v>29</v>
      </c>
      <c r="K453" s="5">
        <v>30</v>
      </c>
      <c r="L453" s="2"/>
      <c r="M453" s="5">
        <f t="shared" si="46"/>
        <v>30</v>
      </c>
      <c r="N453" s="2" t="s">
        <v>2491</v>
      </c>
      <c r="O453" s="2">
        <v>1</v>
      </c>
      <c r="P453" s="2" t="s">
        <v>27</v>
      </c>
      <c r="Q453" s="2" t="s">
        <v>2039</v>
      </c>
      <c r="R453" s="2" t="s">
        <v>33</v>
      </c>
      <c r="S453" s="2" t="s">
        <v>27</v>
      </c>
      <c r="T453" s="2" t="s">
        <v>34</v>
      </c>
      <c r="U453" s="2" t="s">
        <v>35</v>
      </c>
      <c r="V453" s="2" t="s">
        <v>36</v>
      </c>
      <c r="W453" s="2" t="s">
        <v>37</v>
      </c>
      <c r="X453" s="6" t="s">
        <v>2486</v>
      </c>
      <c r="Y453" s="6" t="s">
        <v>2499</v>
      </c>
      <c r="Z453" t="str">
        <f t="shared" si="47"/>
        <v>97714153051</v>
      </c>
      <c r="AA453" t="str">
        <f t="shared" si="48"/>
        <v>14153051</v>
      </c>
      <c r="AB453" t="str">
        <f t="shared" si="49"/>
        <v>14153051</v>
      </c>
      <c r="AC453" t="str">
        <f t="shared" si="50"/>
        <v>+97714153051</v>
      </c>
      <c r="AD453" t="str">
        <f t="shared" si="51"/>
        <v>Landline</v>
      </c>
      <c r="AE453" t="str">
        <f t="shared" si="52"/>
        <v>Valid</v>
      </c>
    </row>
    <row r="454" spans="1:31" x14ac:dyDescent="0.3">
      <c r="A454" s="2" t="s">
        <v>2040</v>
      </c>
      <c r="B454" s="2" t="s">
        <v>2041</v>
      </c>
      <c r="C454" s="2" t="s">
        <v>2042</v>
      </c>
      <c r="D454" s="2" t="s">
        <v>1473</v>
      </c>
      <c r="E454" s="2" t="s">
        <v>2043</v>
      </c>
      <c r="F454" s="2" t="s">
        <v>2043</v>
      </c>
      <c r="G454" s="5" t="str" cm="1">
        <f t="array" ref="G454">IFERROR(INDEX(City_Lookup!$B$2:$B$297,MATCH(TRUE,ISNUMBER(SEARCH(City_Lookup!$A$2:$A$297,$F454&amp;" "&amp;$E454)),0)),"Not Available")</f>
        <v>Kathmandu</v>
      </c>
      <c r="H454" s="5" t="str">
        <f>IFERROR(INDEX(City_Lookup!$E$2:$E$66,MATCH($G454,City_Lookup!$D$2:$D$66,0)),"Not Available")</f>
        <v>Bagmati</v>
      </c>
      <c r="I454" s="2" t="s">
        <v>1259</v>
      </c>
      <c r="J454" s="5" t="s">
        <v>29</v>
      </c>
      <c r="K454" s="5">
        <v>30</v>
      </c>
      <c r="L454" s="2"/>
      <c r="M454" s="5">
        <f t="shared" si="46"/>
        <v>30</v>
      </c>
      <c r="N454" s="2" t="s">
        <v>2491</v>
      </c>
      <c r="O454" s="2">
        <v>1</v>
      </c>
      <c r="P454" s="2" t="s">
        <v>27</v>
      </c>
      <c r="Q454" s="2" t="s">
        <v>2045</v>
      </c>
      <c r="R454" s="2" t="s">
        <v>33</v>
      </c>
      <c r="S454" s="2" t="s">
        <v>27</v>
      </c>
      <c r="T454" s="2" t="s">
        <v>34</v>
      </c>
      <c r="U454" s="2" t="s">
        <v>35</v>
      </c>
      <c r="V454" s="2" t="s">
        <v>36</v>
      </c>
      <c r="W454" s="2" t="s">
        <v>37</v>
      </c>
      <c r="X454" s="6" t="s">
        <v>2486</v>
      </c>
      <c r="Y454" s="6" t="s">
        <v>2499</v>
      </c>
      <c r="Z454" t="str">
        <f t="shared" si="47"/>
        <v>97714153051</v>
      </c>
      <c r="AA454" t="str">
        <f t="shared" si="48"/>
        <v>14153051</v>
      </c>
      <c r="AB454" t="str">
        <f t="shared" si="49"/>
        <v>14153051</v>
      </c>
      <c r="AC454" t="str">
        <f t="shared" si="50"/>
        <v>+97714153051</v>
      </c>
      <c r="AD454" t="str">
        <f t="shared" si="51"/>
        <v>Landline</v>
      </c>
      <c r="AE454" t="str">
        <f t="shared" si="52"/>
        <v>Valid</v>
      </c>
    </row>
    <row r="455" spans="1:31" x14ac:dyDescent="0.3">
      <c r="A455" s="2" t="s">
        <v>2046</v>
      </c>
      <c r="B455" s="2" t="s">
        <v>2047</v>
      </c>
      <c r="C455" s="2" t="s">
        <v>2048</v>
      </c>
      <c r="D455" s="2" t="s">
        <v>248</v>
      </c>
      <c r="E455" s="2" t="s">
        <v>2049</v>
      </c>
      <c r="F455" s="2" t="s">
        <v>2049</v>
      </c>
      <c r="G455" s="5" t="str" cm="1">
        <f t="array" ref="G455">IFERROR(INDEX(City_Lookup!$B$2:$B$297,MATCH(TRUE,ISNUMBER(SEARCH(City_Lookup!$A$2:$A$297,$F455&amp;" "&amp;$E455)),0)),"Not Available")</f>
        <v>Kathmandu</v>
      </c>
      <c r="H455" s="5" t="str">
        <f>IFERROR(INDEX(City_Lookup!$E$2:$E$66,MATCH($G455,City_Lookup!$D$2:$D$66,0)),"Not Available")</f>
        <v>Bagmati</v>
      </c>
      <c r="I455" s="2" t="s">
        <v>1259</v>
      </c>
      <c r="J455" s="5" t="s">
        <v>29</v>
      </c>
      <c r="K455" s="5">
        <v>30</v>
      </c>
      <c r="L455" s="2"/>
      <c r="M455" s="5">
        <f t="shared" si="46"/>
        <v>30</v>
      </c>
      <c r="N455" s="2" t="s">
        <v>2492</v>
      </c>
      <c r="O455" s="2">
        <v>1</v>
      </c>
      <c r="P455" s="2" t="s">
        <v>27</v>
      </c>
      <c r="Q455" s="2" t="s">
        <v>2050</v>
      </c>
      <c r="R455" s="2" t="s">
        <v>33</v>
      </c>
      <c r="S455" s="2" t="s">
        <v>27</v>
      </c>
      <c r="T455" s="2" t="s">
        <v>34</v>
      </c>
      <c r="U455" s="2" t="s">
        <v>35</v>
      </c>
      <c r="V455" s="2" t="s">
        <v>36</v>
      </c>
      <c r="W455" s="2" t="s">
        <v>37</v>
      </c>
      <c r="X455" s="4" t="s">
        <v>2489</v>
      </c>
      <c r="Y455" s="4" t="s">
        <v>2500</v>
      </c>
      <c r="Z455" t="str">
        <f t="shared" si="47"/>
        <v>9779802396101</v>
      </c>
      <c r="AA455" t="str">
        <f t="shared" si="48"/>
        <v>9802396101</v>
      </c>
      <c r="AB455" t="str">
        <f t="shared" si="49"/>
        <v>9802396101</v>
      </c>
      <c r="AC455" t="str">
        <f t="shared" si="50"/>
        <v>+9779802396101</v>
      </c>
      <c r="AD455" t="str">
        <f t="shared" si="51"/>
        <v>Mobile</v>
      </c>
      <c r="AE455" t="str">
        <f t="shared" si="52"/>
        <v>Valid</v>
      </c>
    </row>
    <row r="456" spans="1:31" x14ac:dyDescent="0.3">
      <c r="A456" s="2" t="s">
        <v>2051</v>
      </c>
      <c r="B456" s="2" t="s">
        <v>2052</v>
      </c>
      <c r="C456" s="2" t="s">
        <v>1375</v>
      </c>
      <c r="D456" s="2" t="s">
        <v>1473</v>
      </c>
      <c r="E456" s="2" t="s">
        <v>2053</v>
      </c>
      <c r="F456" s="2" t="s">
        <v>2053</v>
      </c>
      <c r="G456" s="5" t="str" cm="1">
        <f t="array" ref="G456">IFERROR(INDEX(City_Lookup!$B$2:$B$297,MATCH(TRUE,ISNUMBER(SEARCH(City_Lookup!$A$2:$A$297,$F456&amp;" "&amp;$E456)),0)),"Not Available")</f>
        <v>Kathmandu</v>
      </c>
      <c r="H456" s="5" t="str">
        <f>IFERROR(INDEX(City_Lookup!$E$2:$E$66,MATCH($G456,City_Lookup!$D$2:$D$66,0)),"Not Available")</f>
        <v>Bagmati</v>
      </c>
      <c r="I456" s="2" t="s">
        <v>1259</v>
      </c>
      <c r="J456" s="5" t="s">
        <v>29</v>
      </c>
      <c r="K456" s="5">
        <v>30</v>
      </c>
      <c r="L456" s="2"/>
      <c r="M456" s="5">
        <f t="shared" si="46"/>
        <v>30</v>
      </c>
      <c r="N456" s="2" t="s">
        <v>2491</v>
      </c>
      <c r="O456" s="2">
        <v>1</v>
      </c>
      <c r="P456" s="2" t="s">
        <v>27</v>
      </c>
      <c r="Q456" s="2" t="s">
        <v>2054</v>
      </c>
      <c r="R456" s="2" t="s">
        <v>33</v>
      </c>
      <c r="S456" s="2" t="s">
        <v>27</v>
      </c>
      <c r="T456" s="2" t="s">
        <v>34</v>
      </c>
      <c r="U456" s="2" t="s">
        <v>35</v>
      </c>
      <c r="V456" s="2" t="s">
        <v>36</v>
      </c>
      <c r="W456" s="2" t="s">
        <v>37</v>
      </c>
      <c r="X456" s="6" t="s">
        <v>2486</v>
      </c>
      <c r="Y456" s="6" t="s">
        <v>2499</v>
      </c>
      <c r="Z456" t="str">
        <f t="shared" si="47"/>
        <v>97714153051</v>
      </c>
      <c r="AA456" t="str">
        <f t="shared" si="48"/>
        <v>14153051</v>
      </c>
      <c r="AB456" t="str">
        <f t="shared" si="49"/>
        <v>14153051</v>
      </c>
      <c r="AC456" t="str">
        <f t="shared" si="50"/>
        <v>+97714153051</v>
      </c>
      <c r="AD456" t="str">
        <f t="shared" si="51"/>
        <v>Landline</v>
      </c>
      <c r="AE456" t="str">
        <f t="shared" si="52"/>
        <v>Valid</v>
      </c>
    </row>
    <row r="457" spans="1:31" x14ac:dyDescent="0.3">
      <c r="A457" s="2" t="s">
        <v>2055</v>
      </c>
      <c r="B457" s="2" t="s">
        <v>2056</v>
      </c>
      <c r="C457" s="2" t="s">
        <v>2057</v>
      </c>
      <c r="D457" s="2" t="s">
        <v>1479</v>
      </c>
      <c r="E457" s="2" t="s">
        <v>2058</v>
      </c>
      <c r="F457" s="2" t="s">
        <v>2058</v>
      </c>
      <c r="G457" s="5" t="str" cm="1">
        <f t="array" ref="G457">IFERROR(INDEX(City_Lookup!$B$2:$B$297,MATCH(TRUE,ISNUMBER(SEARCH(City_Lookup!$A$2:$A$297,$F457&amp;" "&amp;$E457)),0)),"Not Available")</f>
        <v>Nawalpur</v>
      </c>
      <c r="H457" s="5" t="str">
        <f>IFERROR(INDEX(City_Lookup!$E$2:$E$66,MATCH($G457,City_Lookup!$D$2:$D$66,0)),"Not Available")</f>
        <v>Gandaki</v>
      </c>
      <c r="I457" s="2" t="s">
        <v>1259</v>
      </c>
      <c r="J457" s="5" t="s">
        <v>29</v>
      </c>
      <c r="K457" s="5">
        <v>30</v>
      </c>
      <c r="L457" s="2"/>
      <c r="M457" s="5">
        <f t="shared" si="46"/>
        <v>30</v>
      </c>
      <c r="N457" s="2" t="s">
        <v>2491</v>
      </c>
      <c r="O457" s="2">
        <v>1</v>
      </c>
      <c r="P457" s="2" t="s">
        <v>27</v>
      </c>
      <c r="Q457" s="2" t="s">
        <v>2059</v>
      </c>
      <c r="R457" s="2" t="s">
        <v>33</v>
      </c>
      <c r="S457" s="2" t="s">
        <v>27</v>
      </c>
      <c r="T457" s="2" t="s">
        <v>34</v>
      </c>
      <c r="U457" s="2" t="s">
        <v>35</v>
      </c>
      <c r="V457" s="2" t="s">
        <v>36</v>
      </c>
      <c r="W457" s="2" t="s">
        <v>37</v>
      </c>
      <c r="X457" s="6" t="s">
        <v>2486</v>
      </c>
      <c r="Y457" s="6" t="s">
        <v>2499</v>
      </c>
      <c r="Z457" t="str">
        <f t="shared" si="47"/>
        <v>97714153051</v>
      </c>
      <c r="AA457" t="str">
        <f t="shared" si="48"/>
        <v>14153051</v>
      </c>
      <c r="AB457" t="str">
        <f t="shared" si="49"/>
        <v>14153051</v>
      </c>
      <c r="AC457" t="str">
        <f t="shared" si="50"/>
        <v>+97714153051</v>
      </c>
      <c r="AD457" t="str">
        <f t="shared" si="51"/>
        <v>Landline</v>
      </c>
      <c r="AE457" t="str">
        <f t="shared" si="52"/>
        <v>Valid</v>
      </c>
    </row>
    <row r="458" spans="1:31" x14ac:dyDescent="0.3">
      <c r="A458" s="2" t="s">
        <v>2060</v>
      </c>
      <c r="B458" s="2" t="s">
        <v>2061</v>
      </c>
      <c r="C458" s="2" t="s">
        <v>2062</v>
      </c>
      <c r="D458" s="2" t="s">
        <v>1479</v>
      </c>
      <c r="E458" s="2" t="s">
        <v>2063</v>
      </c>
      <c r="F458" s="2" t="s">
        <v>2063</v>
      </c>
      <c r="G458" s="5" t="str" cm="1">
        <f t="array" ref="G458">IFERROR(INDEX(City_Lookup!$B$2:$B$297,MATCH(TRUE,ISNUMBER(SEARCH(City_Lookup!$A$2:$A$297,$F458&amp;" "&amp;$E458)),0)),"Not Available")</f>
        <v>Makwanpur</v>
      </c>
      <c r="H458" s="5" t="str">
        <f>IFERROR(INDEX(City_Lookup!$E$2:$E$66,MATCH($G458,City_Lookup!$D$2:$D$66,0)),"Not Available")</f>
        <v>Bagmati</v>
      </c>
      <c r="I458" s="2" t="s">
        <v>1259</v>
      </c>
      <c r="J458" s="5" t="s">
        <v>29</v>
      </c>
      <c r="K458" s="5">
        <v>30</v>
      </c>
      <c r="L458" s="2"/>
      <c r="M458" s="5">
        <f t="shared" si="46"/>
        <v>30</v>
      </c>
      <c r="N458" s="2" t="s">
        <v>2492</v>
      </c>
      <c r="O458" s="2">
        <v>1</v>
      </c>
      <c r="P458" s="2" t="s">
        <v>27</v>
      </c>
      <c r="Q458" s="2" t="s">
        <v>2064</v>
      </c>
      <c r="R458" s="2" t="s">
        <v>33</v>
      </c>
      <c r="S458" s="2" t="s">
        <v>27</v>
      </c>
      <c r="T458" s="2" t="s">
        <v>34</v>
      </c>
      <c r="U458" s="2" t="s">
        <v>35</v>
      </c>
      <c r="V458" s="2" t="s">
        <v>36</v>
      </c>
      <c r="W458" s="2" t="s">
        <v>37</v>
      </c>
      <c r="X458" s="6" t="s">
        <v>2486</v>
      </c>
      <c r="Y458" s="6" t="s">
        <v>2499</v>
      </c>
      <c r="Z458" t="str">
        <f t="shared" si="47"/>
        <v>97714153051</v>
      </c>
      <c r="AA458" t="str">
        <f t="shared" si="48"/>
        <v>14153051</v>
      </c>
      <c r="AB458" t="str">
        <f t="shared" si="49"/>
        <v>14153051</v>
      </c>
      <c r="AC458" t="str">
        <f t="shared" si="50"/>
        <v>+97714153051</v>
      </c>
      <c r="AD458" t="str">
        <f t="shared" si="51"/>
        <v>Landline</v>
      </c>
      <c r="AE458" t="str">
        <f t="shared" si="52"/>
        <v>Valid</v>
      </c>
    </row>
    <row r="459" spans="1:31" x14ac:dyDescent="0.3">
      <c r="A459" s="2" t="s">
        <v>2065</v>
      </c>
      <c r="B459" s="2" t="s">
        <v>2066</v>
      </c>
      <c r="C459" s="2" t="s">
        <v>2067</v>
      </c>
      <c r="D459" s="2" t="s">
        <v>1473</v>
      </c>
      <c r="E459" s="2" t="s">
        <v>2068</v>
      </c>
      <c r="F459" s="2" t="s">
        <v>2068</v>
      </c>
      <c r="G459" s="5" t="str" cm="1">
        <f t="array" ref="G459">IFERROR(INDEX(City_Lookup!$B$2:$B$297,MATCH(TRUE,ISNUMBER(SEARCH(City_Lookup!$A$2:$A$297,$F459&amp;" "&amp;$E459)),0)),"Not Available")</f>
        <v>Lalitpur</v>
      </c>
      <c r="H459" s="5" t="str">
        <f>IFERROR(INDEX(City_Lookup!$E$2:$E$66,MATCH($G459,City_Lookup!$D$2:$D$66,0)),"Not Available")</f>
        <v>Bagmati</v>
      </c>
      <c r="I459" s="2" t="s">
        <v>1259</v>
      </c>
      <c r="J459" s="5" t="s">
        <v>29</v>
      </c>
      <c r="K459" s="5">
        <v>30</v>
      </c>
      <c r="L459" s="2"/>
      <c r="M459" s="5">
        <f t="shared" si="46"/>
        <v>30</v>
      </c>
      <c r="N459" s="2" t="s">
        <v>2491</v>
      </c>
      <c r="O459" s="2">
        <v>1</v>
      </c>
      <c r="P459" s="2" t="s">
        <v>27</v>
      </c>
      <c r="Q459" s="2" t="s">
        <v>2069</v>
      </c>
      <c r="R459" s="2" t="s">
        <v>33</v>
      </c>
      <c r="S459" s="2" t="s">
        <v>27</v>
      </c>
      <c r="T459" s="2" t="s">
        <v>34</v>
      </c>
      <c r="U459" s="2" t="s">
        <v>35</v>
      </c>
      <c r="V459" s="2" t="s">
        <v>36</v>
      </c>
      <c r="W459" s="2" t="s">
        <v>37</v>
      </c>
      <c r="X459" s="6" t="s">
        <v>2486</v>
      </c>
      <c r="Y459" s="6" t="s">
        <v>2499</v>
      </c>
      <c r="Z459" t="str">
        <f t="shared" si="47"/>
        <v>97714153051</v>
      </c>
      <c r="AA459" t="str">
        <f t="shared" si="48"/>
        <v>14153051</v>
      </c>
      <c r="AB459" t="str">
        <f t="shared" si="49"/>
        <v>14153051</v>
      </c>
      <c r="AC459" t="str">
        <f t="shared" si="50"/>
        <v>+97714153051</v>
      </c>
      <c r="AD459" t="str">
        <f t="shared" si="51"/>
        <v>Landline</v>
      </c>
      <c r="AE459" t="str">
        <f t="shared" si="52"/>
        <v>Valid</v>
      </c>
    </row>
    <row r="460" spans="1:31" x14ac:dyDescent="0.3">
      <c r="A460" s="2" t="s">
        <v>2070</v>
      </c>
      <c r="B460" s="2" t="s">
        <v>2071</v>
      </c>
      <c r="C460" s="2" t="s">
        <v>2072</v>
      </c>
      <c r="D460" s="2" t="s">
        <v>248</v>
      </c>
      <c r="E460" s="2" t="s">
        <v>2073</v>
      </c>
      <c r="F460" s="2" t="s">
        <v>2073</v>
      </c>
      <c r="G460" s="5" t="str" cm="1">
        <f t="array" ref="G460">IFERROR(INDEX(City_Lookup!$B$2:$B$297,MATCH(TRUE,ISNUMBER(SEARCH(City_Lookup!$A$2:$A$297,$F460&amp;" "&amp;$E460)),0)),"Not Available")</f>
        <v>Lalitpur</v>
      </c>
      <c r="H460" s="5" t="str">
        <f>IFERROR(INDEX(City_Lookup!$E$2:$E$66,MATCH($G460,City_Lookup!$D$2:$D$66,0)),"Not Available")</f>
        <v>Bagmati</v>
      </c>
      <c r="I460" s="2" t="s">
        <v>1259</v>
      </c>
      <c r="J460" s="5" t="s">
        <v>29</v>
      </c>
      <c r="K460" s="5">
        <v>30</v>
      </c>
      <c r="L460" s="2"/>
      <c r="M460" s="5">
        <f t="shared" si="46"/>
        <v>30</v>
      </c>
      <c r="N460" s="2" t="s">
        <v>2491</v>
      </c>
      <c r="O460" s="2">
        <v>1</v>
      </c>
      <c r="P460" s="2" t="s">
        <v>27</v>
      </c>
      <c r="Q460" s="2" t="s">
        <v>2074</v>
      </c>
      <c r="R460" s="2" t="s">
        <v>33</v>
      </c>
      <c r="S460" s="2" t="s">
        <v>27</v>
      </c>
      <c r="T460" s="2" t="s">
        <v>34</v>
      </c>
      <c r="U460" s="2" t="s">
        <v>35</v>
      </c>
      <c r="V460" s="2" t="s">
        <v>36</v>
      </c>
      <c r="W460" s="2" t="s">
        <v>37</v>
      </c>
      <c r="X460" s="4" t="s">
        <v>2489</v>
      </c>
      <c r="Y460" s="4" t="s">
        <v>2500</v>
      </c>
      <c r="Z460" t="str">
        <f t="shared" si="47"/>
        <v>9779802396101</v>
      </c>
      <c r="AA460" t="str">
        <f t="shared" si="48"/>
        <v>9802396101</v>
      </c>
      <c r="AB460" t="str">
        <f t="shared" si="49"/>
        <v>9802396101</v>
      </c>
      <c r="AC460" t="str">
        <f t="shared" si="50"/>
        <v>+9779802396101</v>
      </c>
      <c r="AD460" t="str">
        <f t="shared" si="51"/>
        <v>Mobile</v>
      </c>
      <c r="AE460" t="str">
        <f t="shared" si="52"/>
        <v>Valid</v>
      </c>
    </row>
    <row r="461" spans="1:31" x14ac:dyDescent="0.3">
      <c r="A461" s="2" t="s">
        <v>2075</v>
      </c>
      <c r="B461" s="2" t="s">
        <v>2076</v>
      </c>
      <c r="C461" s="2" t="s">
        <v>2077</v>
      </c>
      <c r="D461" s="2" t="s">
        <v>1479</v>
      </c>
      <c r="E461" s="2" t="s">
        <v>2078</v>
      </c>
      <c r="F461" s="2" t="s">
        <v>2078</v>
      </c>
      <c r="G461" s="5" t="str" cm="1">
        <f t="array" ref="G461">IFERROR(INDEX(City_Lookup!$B$2:$B$297,MATCH(TRUE,ISNUMBER(SEARCH(City_Lookup!$A$2:$A$297,$F461&amp;" "&amp;$E461)),0)),"Not Available")</f>
        <v>Makwanpur</v>
      </c>
      <c r="H461" s="5" t="str">
        <f>IFERROR(INDEX(City_Lookup!$E$2:$E$66,MATCH($G461,City_Lookup!$D$2:$D$66,0)),"Not Available")</f>
        <v>Bagmati</v>
      </c>
      <c r="I461" s="2" t="s">
        <v>1259</v>
      </c>
      <c r="J461" s="5" t="s">
        <v>29</v>
      </c>
      <c r="K461" s="5">
        <v>30</v>
      </c>
      <c r="L461" s="2"/>
      <c r="M461" s="5">
        <f t="shared" si="46"/>
        <v>30</v>
      </c>
      <c r="N461" s="2" t="s">
        <v>2491</v>
      </c>
      <c r="O461" s="2">
        <v>1</v>
      </c>
      <c r="P461" s="2" t="s">
        <v>27</v>
      </c>
      <c r="Q461" s="2" t="s">
        <v>2079</v>
      </c>
      <c r="R461" s="2" t="s">
        <v>33</v>
      </c>
      <c r="S461" s="2" t="s">
        <v>27</v>
      </c>
      <c r="T461" s="2" t="s">
        <v>34</v>
      </c>
      <c r="U461" s="2" t="s">
        <v>35</v>
      </c>
      <c r="V461" s="2" t="s">
        <v>36</v>
      </c>
      <c r="W461" s="2" t="s">
        <v>37</v>
      </c>
      <c r="X461" s="6" t="s">
        <v>2486</v>
      </c>
      <c r="Y461" s="6" t="s">
        <v>2499</v>
      </c>
      <c r="Z461" t="str">
        <f t="shared" si="47"/>
        <v>97714153051</v>
      </c>
      <c r="AA461" t="str">
        <f t="shared" si="48"/>
        <v>14153051</v>
      </c>
      <c r="AB461" t="str">
        <f t="shared" si="49"/>
        <v>14153051</v>
      </c>
      <c r="AC461" t="str">
        <f t="shared" si="50"/>
        <v>+97714153051</v>
      </c>
      <c r="AD461" t="str">
        <f t="shared" si="51"/>
        <v>Landline</v>
      </c>
      <c r="AE461" t="str">
        <f t="shared" si="52"/>
        <v>Valid</v>
      </c>
    </row>
    <row r="462" spans="1:31" x14ac:dyDescent="0.3">
      <c r="A462" s="2" t="s">
        <v>2080</v>
      </c>
      <c r="B462" s="2" t="s">
        <v>2081</v>
      </c>
      <c r="C462" s="2" t="s">
        <v>2082</v>
      </c>
      <c r="D462" s="2" t="s">
        <v>1473</v>
      </c>
      <c r="E462" s="2" t="s">
        <v>2083</v>
      </c>
      <c r="F462" s="2" t="s">
        <v>2083</v>
      </c>
      <c r="G462" s="5" t="str" cm="1">
        <f t="array" ref="G462">IFERROR(INDEX(City_Lookup!$B$2:$B$297,MATCH(TRUE,ISNUMBER(SEARCH(City_Lookup!$A$2:$A$297,$F462&amp;" "&amp;$E462)),0)),"Not Available")</f>
        <v>Dhading</v>
      </c>
      <c r="H462" s="5" t="str">
        <f>IFERROR(INDEX(City_Lookup!$E$2:$E$66,MATCH($G462,City_Lookup!$D$2:$D$66,0)),"Not Available")</f>
        <v>Bagmati</v>
      </c>
      <c r="I462" s="2" t="s">
        <v>1259</v>
      </c>
      <c r="J462" s="5" t="s">
        <v>29</v>
      </c>
      <c r="K462" s="5">
        <v>30</v>
      </c>
      <c r="L462" s="2"/>
      <c r="M462" s="5">
        <f t="shared" si="46"/>
        <v>30</v>
      </c>
      <c r="N462" s="2" t="s">
        <v>2493</v>
      </c>
      <c r="O462" s="2">
        <v>1</v>
      </c>
      <c r="P462" s="2" t="s">
        <v>27</v>
      </c>
      <c r="Q462" s="2" t="s">
        <v>2084</v>
      </c>
      <c r="R462" s="2" t="s">
        <v>33</v>
      </c>
      <c r="S462" s="2" t="s">
        <v>27</v>
      </c>
      <c r="T462" s="2" t="s">
        <v>34</v>
      </c>
      <c r="U462" s="2" t="s">
        <v>35</v>
      </c>
      <c r="V462" s="2" t="s">
        <v>36</v>
      </c>
      <c r="W462" s="2" t="s">
        <v>37</v>
      </c>
      <c r="X462" s="6" t="s">
        <v>2486</v>
      </c>
      <c r="Y462" s="6" t="s">
        <v>2499</v>
      </c>
      <c r="Z462" t="str">
        <f t="shared" si="47"/>
        <v>97714153051</v>
      </c>
      <c r="AA462" t="str">
        <f t="shared" si="48"/>
        <v>14153051</v>
      </c>
      <c r="AB462" t="str">
        <f t="shared" si="49"/>
        <v>14153051</v>
      </c>
      <c r="AC462" t="str">
        <f t="shared" si="50"/>
        <v>+97714153051</v>
      </c>
      <c r="AD462" t="str">
        <f t="shared" si="51"/>
        <v>Landline</v>
      </c>
      <c r="AE462" t="str">
        <f t="shared" si="52"/>
        <v>Valid</v>
      </c>
    </row>
    <row r="463" spans="1:31" x14ac:dyDescent="0.3">
      <c r="A463" s="2" t="s">
        <v>2085</v>
      </c>
      <c r="B463" s="2" t="s">
        <v>2086</v>
      </c>
      <c r="C463" s="2" t="s">
        <v>2087</v>
      </c>
      <c r="D463" s="2" t="s">
        <v>1479</v>
      </c>
      <c r="E463" s="2" t="s">
        <v>2088</v>
      </c>
      <c r="F463" s="2" t="s">
        <v>2088</v>
      </c>
      <c r="G463" s="5" t="str" cm="1">
        <f t="array" ref="G463">IFERROR(INDEX(City_Lookup!$B$2:$B$297,MATCH(TRUE,ISNUMBER(SEARCH(City_Lookup!$A$2:$A$297,$F463&amp;" "&amp;$E463)),0)),"Not Available")</f>
        <v>Sindhuli</v>
      </c>
      <c r="H463" s="5" t="str">
        <f>IFERROR(INDEX(City_Lookup!$E$2:$E$66,MATCH($G463,City_Lookup!$D$2:$D$66,0)),"Not Available")</f>
        <v>Bagmati</v>
      </c>
      <c r="I463" s="2" t="s">
        <v>1259</v>
      </c>
      <c r="J463" s="5" t="s">
        <v>29</v>
      </c>
      <c r="K463" s="5">
        <v>30</v>
      </c>
      <c r="L463" s="2"/>
      <c r="M463" s="5">
        <f t="shared" si="46"/>
        <v>30</v>
      </c>
      <c r="N463" s="2" t="s">
        <v>2493</v>
      </c>
      <c r="O463" s="2">
        <v>1</v>
      </c>
      <c r="P463" s="2" t="s">
        <v>27</v>
      </c>
      <c r="Q463" s="2" t="s">
        <v>2089</v>
      </c>
      <c r="R463" s="2" t="s">
        <v>33</v>
      </c>
      <c r="S463" s="2" t="s">
        <v>27</v>
      </c>
      <c r="T463" s="2" t="s">
        <v>34</v>
      </c>
      <c r="U463" s="2" t="s">
        <v>35</v>
      </c>
      <c r="V463" s="2" t="s">
        <v>36</v>
      </c>
      <c r="W463" s="2" t="s">
        <v>37</v>
      </c>
      <c r="X463" s="6" t="s">
        <v>2486</v>
      </c>
      <c r="Y463" s="6" t="s">
        <v>2499</v>
      </c>
      <c r="Z463" t="str">
        <f t="shared" si="47"/>
        <v>97714153051</v>
      </c>
      <c r="AA463" t="str">
        <f t="shared" si="48"/>
        <v>14153051</v>
      </c>
      <c r="AB463" t="str">
        <f t="shared" si="49"/>
        <v>14153051</v>
      </c>
      <c r="AC463" t="str">
        <f t="shared" si="50"/>
        <v>+97714153051</v>
      </c>
      <c r="AD463" t="str">
        <f t="shared" si="51"/>
        <v>Landline</v>
      </c>
      <c r="AE463" t="str">
        <f t="shared" si="52"/>
        <v>Valid</v>
      </c>
    </row>
    <row r="464" spans="1:31" x14ac:dyDescent="0.3">
      <c r="A464" s="2" t="s">
        <v>2090</v>
      </c>
      <c r="B464" s="2" t="s">
        <v>2091</v>
      </c>
      <c r="C464" s="2" t="s">
        <v>2092</v>
      </c>
      <c r="D464" s="2" t="s">
        <v>1479</v>
      </c>
      <c r="E464" s="2" t="s">
        <v>2093</v>
      </c>
      <c r="F464" s="2" t="s">
        <v>2093</v>
      </c>
      <c r="G464" s="5" t="str" cm="1">
        <f t="array" ref="G464">IFERROR(INDEX(City_Lookup!$B$2:$B$297,MATCH(TRUE,ISNUMBER(SEARCH(City_Lookup!$A$2:$A$297,$F464&amp;" "&amp;$E464)),0)),"Not Available")</f>
        <v>Sindhuli</v>
      </c>
      <c r="H464" s="5" t="str">
        <f>IFERROR(INDEX(City_Lookup!$E$2:$E$66,MATCH($G464,City_Lookup!$D$2:$D$66,0)),"Not Available")</f>
        <v>Bagmati</v>
      </c>
      <c r="I464" s="2" t="s">
        <v>1259</v>
      </c>
      <c r="J464" s="5" t="s">
        <v>29</v>
      </c>
      <c r="K464" s="5">
        <v>30</v>
      </c>
      <c r="L464" s="2"/>
      <c r="M464" s="5">
        <f t="shared" si="46"/>
        <v>30</v>
      </c>
      <c r="N464" s="2" t="s">
        <v>2493</v>
      </c>
      <c r="O464" s="2">
        <v>1</v>
      </c>
      <c r="P464" s="2" t="s">
        <v>27</v>
      </c>
      <c r="Q464" s="2" t="s">
        <v>2094</v>
      </c>
      <c r="R464" s="2" t="s">
        <v>33</v>
      </c>
      <c r="S464" s="2" t="s">
        <v>27</v>
      </c>
      <c r="T464" s="2" t="s">
        <v>34</v>
      </c>
      <c r="U464" s="2" t="s">
        <v>35</v>
      </c>
      <c r="V464" s="2" t="s">
        <v>36</v>
      </c>
      <c r="W464" s="2" t="s">
        <v>37</v>
      </c>
      <c r="X464" s="6" t="s">
        <v>2486</v>
      </c>
      <c r="Y464" s="6" t="s">
        <v>2499</v>
      </c>
      <c r="Z464" t="str">
        <f t="shared" si="47"/>
        <v>97714153051</v>
      </c>
      <c r="AA464" t="str">
        <f t="shared" si="48"/>
        <v>14153051</v>
      </c>
      <c r="AB464" t="str">
        <f t="shared" si="49"/>
        <v>14153051</v>
      </c>
      <c r="AC464" t="str">
        <f t="shared" si="50"/>
        <v>+97714153051</v>
      </c>
      <c r="AD464" t="str">
        <f t="shared" si="51"/>
        <v>Landline</v>
      </c>
      <c r="AE464" t="str">
        <f t="shared" si="52"/>
        <v>Valid</v>
      </c>
    </row>
    <row r="465" spans="1:31" x14ac:dyDescent="0.3">
      <c r="A465" s="2" t="s">
        <v>2095</v>
      </c>
      <c r="B465" s="2" t="s">
        <v>2096</v>
      </c>
      <c r="C465" s="2" t="s">
        <v>2097</v>
      </c>
      <c r="D465" s="2" t="s">
        <v>1479</v>
      </c>
      <c r="E465" s="2" t="s">
        <v>2098</v>
      </c>
      <c r="F465" s="2" t="s">
        <v>2098</v>
      </c>
      <c r="G465" s="5" t="str" cm="1">
        <f t="array" ref="G465">IFERROR(INDEX(City_Lookup!$B$2:$B$297,MATCH(TRUE,ISNUMBER(SEARCH(City_Lookup!$A$2:$A$297,$F465&amp;" "&amp;$E465)),0)),"Not Available")</f>
        <v>Sindhuli</v>
      </c>
      <c r="H465" s="5" t="str">
        <f>IFERROR(INDEX(City_Lookup!$E$2:$E$66,MATCH($G465,City_Lookup!$D$2:$D$66,0)),"Not Available")</f>
        <v>Bagmati</v>
      </c>
      <c r="I465" s="2" t="s">
        <v>1259</v>
      </c>
      <c r="J465" s="5" t="s">
        <v>29</v>
      </c>
      <c r="K465" s="5">
        <v>30</v>
      </c>
      <c r="L465" s="2"/>
      <c r="M465" s="5">
        <f t="shared" si="46"/>
        <v>30</v>
      </c>
      <c r="N465" s="2" t="s">
        <v>2494</v>
      </c>
      <c r="O465" s="2">
        <v>1</v>
      </c>
      <c r="P465" s="2" t="s">
        <v>27</v>
      </c>
      <c r="Q465" s="2" t="s">
        <v>2099</v>
      </c>
      <c r="R465" s="2" t="s">
        <v>33</v>
      </c>
      <c r="S465" s="2" t="s">
        <v>27</v>
      </c>
      <c r="T465" s="2" t="s">
        <v>34</v>
      </c>
      <c r="U465" s="2" t="s">
        <v>35</v>
      </c>
      <c r="V465" s="2" t="s">
        <v>36</v>
      </c>
      <c r="W465" s="2" t="s">
        <v>37</v>
      </c>
      <c r="X465" s="6" t="s">
        <v>2486</v>
      </c>
      <c r="Y465" s="6" t="s">
        <v>2499</v>
      </c>
      <c r="Z465" t="str">
        <f t="shared" si="47"/>
        <v>97714153051</v>
      </c>
      <c r="AA465" t="str">
        <f t="shared" si="48"/>
        <v>14153051</v>
      </c>
      <c r="AB465" t="str">
        <f t="shared" si="49"/>
        <v>14153051</v>
      </c>
      <c r="AC465" t="str">
        <f t="shared" si="50"/>
        <v>+97714153051</v>
      </c>
      <c r="AD465" t="str">
        <f t="shared" si="51"/>
        <v>Landline</v>
      </c>
      <c r="AE465" t="str">
        <f t="shared" si="52"/>
        <v>Valid</v>
      </c>
    </row>
    <row r="466" spans="1:31" x14ac:dyDescent="0.3">
      <c r="A466" s="2" t="s">
        <v>2100</v>
      </c>
      <c r="B466" s="2" t="s">
        <v>2101</v>
      </c>
      <c r="C466" s="2" t="s">
        <v>2102</v>
      </c>
      <c r="D466" s="2" t="s">
        <v>1473</v>
      </c>
      <c r="E466" s="2" t="s">
        <v>2103</v>
      </c>
      <c r="F466" s="2" t="s">
        <v>2103</v>
      </c>
      <c r="G466" s="5" t="str" cm="1">
        <f t="array" ref="G466">IFERROR(INDEX(City_Lookup!$B$2:$B$297,MATCH(TRUE,ISNUMBER(SEARCH(City_Lookup!$A$2:$A$297,$F466&amp;" "&amp;$E466)),0)),"Not Available")</f>
        <v>Nuwakot</v>
      </c>
      <c r="H466" s="5" t="str">
        <f>IFERROR(INDEX(City_Lookup!$E$2:$E$66,MATCH($G466,City_Lookup!$D$2:$D$66,0)),"Not Available")</f>
        <v>Bagmati</v>
      </c>
      <c r="I466" s="2" t="s">
        <v>1259</v>
      </c>
      <c r="J466" s="5" t="s">
        <v>29</v>
      </c>
      <c r="K466" s="5">
        <v>30</v>
      </c>
      <c r="L466" s="2"/>
      <c r="M466" s="5">
        <f t="shared" si="46"/>
        <v>30</v>
      </c>
      <c r="N466" s="2" t="s">
        <v>2493</v>
      </c>
      <c r="O466" s="2">
        <v>1</v>
      </c>
      <c r="P466" s="2" t="s">
        <v>27</v>
      </c>
      <c r="Q466" s="2" t="s">
        <v>2104</v>
      </c>
      <c r="R466" s="2" t="s">
        <v>33</v>
      </c>
      <c r="S466" s="2" t="s">
        <v>27</v>
      </c>
      <c r="T466" s="2" t="s">
        <v>34</v>
      </c>
      <c r="U466" s="2" t="s">
        <v>35</v>
      </c>
      <c r="V466" s="2" t="s">
        <v>36</v>
      </c>
      <c r="W466" s="2" t="s">
        <v>37</v>
      </c>
      <c r="X466" s="6" t="s">
        <v>2486</v>
      </c>
      <c r="Y466" s="6" t="s">
        <v>2499</v>
      </c>
      <c r="Z466" t="str">
        <f t="shared" si="47"/>
        <v>97714153051</v>
      </c>
      <c r="AA466" t="str">
        <f t="shared" si="48"/>
        <v>14153051</v>
      </c>
      <c r="AB466" t="str">
        <f t="shared" si="49"/>
        <v>14153051</v>
      </c>
      <c r="AC466" t="str">
        <f t="shared" si="50"/>
        <v>+97714153051</v>
      </c>
      <c r="AD466" t="str">
        <f t="shared" si="51"/>
        <v>Landline</v>
      </c>
      <c r="AE466" t="str">
        <f t="shared" si="52"/>
        <v>Valid</v>
      </c>
    </row>
    <row r="467" spans="1:31" x14ac:dyDescent="0.3">
      <c r="A467" s="2" t="s">
        <v>2105</v>
      </c>
      <c r="B467" s="2" t="s">
        <v>2106</v>
      </c>
      <c r="C467" s="2" t="s">
        <v>2107</v>
      </c>
      <c r="D467" s="2" t="s">
        <v>1479</v>
      </c>
      <c r="E467" s="2" t="s">
        <v>2108</v>
      </c>
      <c r="F467" s="2" t="s">
        <v>2108</v>
      </c>
      <c r="G467" s="5" t="str" cm="1">
        <f t="array" ref="G467">IFERROR(INDEX(City_Lookup!$B$2:$B$297,MATCH(TRUE,ISNUMBER(SEARCH(City_Lookup!$A$2:$A$297,$F467&amp;" "&amp;$E467)),0)),"Not Available")</f>
        <v>Chitwan</v>
      </c>
      <c r="H467" s="5" t="str">
        <f>IFERROR(INDEX(City_Lookup!$E$2:$E$66,MATCH($G467,City_Lookup!$D$2:$D$66,0)),"Not Available")</f>
        <v>Bagmati</v>
      </c>
      <c r="I467" s="2" t="s">
        <v>1259</v>
      </c>
      <c r="J467" s="5" t="s">
        <v>29</v>
      </c>
      <c r="K467" s="5">
        <v>30</v>
      </c>
      <c r="L467" s="2"/>
      <c r="M467" s="5">
        <f t="shared" si="46"/>
        <v>30</v>
      </c>
      <c r="N467" s="2" t="s">
        <v>2493</v>
      </c>
      <c r="O467" s="2">
        <v>1</v>
      </c>
      <c r="P467" s="2" t="s">
        <v>27</v>
      </c>
      <c r="Q467" s="2" t="s">
        <v>2109</v>
      </c>
      <c r="R467" s="2" t="s">
        <v>33</v>
      </c>
      <c r="S467" s="2" t="s">
        <v>27</v>
      </c>
      <c r="T467" s="2" t="s">
        <v>34</v>
      </c>
      <c r="U467" s="2" t="s">
        <v>35</v>
      </c>
      <c r="V467" s="2" t="s">
        <v>36</v>
      </c>
      <c r="W467" s="2" t="s">
        <v>37</v>
      </c>
      <c r="X467" s="6" t="s">
        <v>2486</v>
      </c>
      <c r="Y467" s="6" t="s">
        <v>2499</v>
      </c>
      <c r="Z467" t="str">
        <f t="shared" si="47"/>
        <v>97714153051</v>
      </c>
      <c r="AA467" t="str">
        <f t="shared" si="48"/>
        <v>14153051</v>
      </c>
      <c r="AB467" t="str">
        <f t="shared" si="49"/>
        <v>14153051</v>
      </c>
      <c r="AC467" t="str">
        <f t="shared" si="50"/>
        <v>+97714153051</v>
      </c>
      <c r="AD467" t="str">
        <f t="shared" si="51"/>
        <v>Landline</v>
      </c>
      <c r="AE467" t="str">
        <f t="shared" si="52"/>
        <v>Valid</v>
      </c>
    </row>
    <row r="468" spans="1:31" x14ac:dyDescent="0.3">
      <c r="A468" s="2" t="s">
        <v>2110</v>
      </c>
      <c r="B468" s="2" t="s">
        <v>2111</v>
      </c>
      <c r="C468" s="2" t="s">
        <v>2112</v>
      </c>
      <c r="D468" s="2" t="s">
        <v>1479</v>
      </c>
      <c r="E468" s="2" t="s">
        <v>2113</v>
      </c>
      <c r="F468" s="2" t="s">
        <v>2113</v>
      </c>
      <c r="G468" s="5" t="str" cm="1">
        <f t="array" ref="G468">IFERROR(INDEX(City_Lookup!$B$2:$B$297,MATCH(TRUE,ISNUMBER(SEARCH(City_Lookup!$A$2:$A$297,$F468&amp;" "&amp;$E468)),0)),"Not Available")</f>
        <v>Chitwan</v>
      </c>
      <c r="H468" s="5" t="str">
        <f>IFERROR(INDEX(City_Lookup!$E$2:$E$66,MATCH($G468,City_Lookup!$D$2:$D$66,0)),"Not Available")</f>
        <v>Bagmati</v>
      </c>
      <c r="I468" s="2" t="s">
        <v>1259</v>
      </c>
      <c r="J468" s="5" t="s">
        <v>29</v>
      </c>
      <c r="K468" s="5">
        <v>30</v>
      </c>
      <c r="L468" s="2"/>
      <c r="M468" s="5">
        <f t="shared" si="46"/>
        <v>30</v>
      </c>
      <c r="N468" s="2" t="s">
        <v>2493</v>
      </c>
      <c r="O468" s="2">
        <v>1</v>
      </c>
      <c r="P468" s="2" t="s">
        <v>27</v>
      </c>
      <c r="Q468" s="2" t="s">
        <v>2114</v>
      </c>
      <c r="R468" s="2" t="s">
        <v>33</v>
      </c>
      <c r="S468" s="2" t="s">
        <v>27</v>
      </c>
      <c r="T468" s="2" t="s">
        <v>34</v>
      </c>
      <c r="U468" s="2" t="s">
        <v>35</v>
      </c>
      <c r="V468" s="2" t="s">
        <v>36</v>
      </c>
      <c r="W468" s="2" t="s">
        <v>37</v>
      </c>
      <c r="X468" s="6" t="s">
        <v>2486</v>
      </c>
      <c r="Y468" s="6" t="s">
        <v>2499</v>
      </c>
      <c r="Z468" t="str">
        <f t="shared" si="47"/>
        <v>97714153051</v>
      </c>
      <c r="AA468" t="str">
        <f t="shared" si="48"/>
        <v>14153051</v>
      </c>
      <c r="AB468" t="str">
        <f t="shared" si="49"/>
        <v>14153051</v>
      </c>
      <c r="AC468" t="str">
        <f t="shared" si="50"/>
        <v>+97714153051</v>
      </c>
      <c r="AD468" t="str">
        <f t="shared" si="51"/>
        <v>Landline</v>
      </c>
      <c r="AE468" t="str">
        <f t="shared" si="52"/>
        <v>Valid</v>
      </c>
    </row>
    <row r="469" spans="1:31" x14ac:dyDescent="0.3">
      <c r="A469" s="2" t="s">
        <v>2115</v>
      </c>
      <c r="B469" s="2" t="s">
        <v>2116</v>
      </c>
      <c r="C469" s="2" t="s">
        <v>2117</v>
      </c>
      <c r="D469" s="2" t="s">
        <v>1479</v>
      </c>
      <c r="E469" s="2" t="s">
        <v>2118</v>
      </c>
      <c r="F469" s="2" t="s">
        <v>2118</v>
      </c>
      <c r="G469" s="5" t="str" cm="1">
        <f t="array" ref="G469">IFERROR(INDEX(City_Lookup!$B$2:$B$297,MATCH(TRUE,ISNUMBER(SEARCH(City_Lookup!$A$2:$A$297,$F469&amp;" "&amp;$E469)),0)),"Not Available")</f>
        <v>Sindhuli</v>
      </c>
      <c r="H469" s="5" t="str">
        <f>IFERROR(INDEX(City_Lookup!$E$2:$E$66,MATCH($G469,City_Lookup!$D$2:$D$66,0)),"Not Available")</f>
        <v>Bagmati</v>
      </c>
      <c r="I469" s="2" t="s">
        <v>1259</v>
      </c>
      <c r="J469" s="5" t="s">
        <v>29</v>
      </c>
      <c r="K469" s="5">
        <v>30</v>
      </c>
      <c r="L469" s="2"/>
      <c r="M469" s="5">
        <f t="shared" si="46"/>
        <v>30</v>
      </c>
      <c r="N469" s="2" t="s">
        <v>2493</v>
      </c>
      <c r="O469" s="2">
        <v>1</v>
      </c>
      <c r="P469" s="2" t="s">
        <v>27</v>
      </c>
      <c r="Q469" s="2" t="s">
        <v>2119</v>
      </c>
      <c r="R469" s="2" t="s">
        <v>33</v>
      </c>
      <c r="S469" s="2" t="s">
        <v>27</v>
      </c>
      <c r="T469" s="2" t="s">
        <v>34</v>
      </c>
      <c r="U469" s="2" t="s">
        <v>35</v>
      </c>
      <c r="V469" s="2" t="s">
        <v>36</v>
      </c>
      <c r="W469" s="2" t="s">
        <v>37</v>
      </c>
      <c r="X469" s="6" t="s">
        <v>2486</v>
      </c>
      <c r="Y469" s="6" t="s">
        <v>2499</v>
      </c>
      <c r="Z469" t="str">
        <f t="shared" si="47"/>
        <v>97714153051</v>
      </c>
      <c r="AA469" t="str">
        <f t="shared" si="48"/>
        <v>14153051</v>
      </c>
      <c r="AB469" t="str">
        <f t="shared" si="49"/>
        <v>14153051</v>
      </c>
      <c r="AC469" t="str">
        <f t="shared" si="50"/>
        <v>+97714153051</v>
      </c>
      <c r="AD469" t="str">
        <f t="shared" si="51"/>
        <v>Landline</v>
      </c>
      <c r="AE469" t="str">
        <f t="shared" si="52"/>
        <v>Valid</v>
      </c>
    </row>
    <row r="470" spans="1:31" x14ac:dyDescent="0.3">
      <c r="A470" s="2" t="s">
        <v>2120</v>
      </c>
      <c r="B470" s="2" t="s">
        <v>2121</v>
      </c>
      <c r="C470" s="2" t="s">
        <v>2122</v>
      </c>
      <c r="D470" s="2" t="s">
        <v>1473</v>
      </c>
      <c r="E470" s="2" t="s">
        <v>2123</v>
      </c>
      <c r="F470" s="2" t="s">
        <v>2123</v>
      </c>
      <c r="G470" s="5" t="str" cm="1">
        <f t="array" ref="G470">IFERROR(INDEX(City_Lookup!$B$2:$B$297,MATCH(TRUE,ISNUMBER(SEARCH(City_Lookup!$A$2:$A$297,$F470&amp;" "&amp;$E470)),0)),"Not Available")</f>
        <v>Sindhuli</v>
      </c>
      <c r="H470" s="5" t="str">
        <f>IFERROR(INDEX(City_Lookup!$E$2:$E$66,MATCH($G470,City_Lookup!$D$2:$D$66,0)),"Not Available")</f>
        <v>Bagmati</v>
      </c>
      <c r="I470" s="2" t="s">
        <v>1259</v>
      </c>
      <c r="J470" s="5" t="s">
        <v>29</v>
      </c>
      <c r="K470" s="5">
        <v>30</v>
      </c>
      <c r="L470" s="2"/>
      <c r="M470" s="5">
        <f t="shared" si="46"/>
        <v>30</v>
      </c>
      <c r="N470" s="2" t="s">
        <v>2493</v>
      </c>
      <c r="O470" s="2">
        <v>1</v>
      </c>
      <c r="P470" s="2" t="s">
        <v>27</v>
      </c>
      <c r="Q470" s="2" t="s">
        <v>2124</v>
      </c>
      <c r="R470" s="2" t="s">
        <v>33</v>
      </c>
      <c r="S470" s="2" t="s">
        <v>27</v>
      </c>
      <c r="T470" s="2" t="s">
        <v>34</v>
      </c>
      <c r="U470" s="2" t="s">
        <v>35</v>
      </c>
      <c r="V470" s="2" t="s">
        <v>36</v>
      </c>
      <c r="W470" s="2" t="s">
        <v>37</v>
      </c>
      <c r="X470" s="6" t="s">
        <v>2486</v>
      </c>
      <c r="Y470" s="6" t="s">
        <v>2499</v>
      </c>
      <c r="Z470" t="str">
        <f t="shared" si="47"/>
        <v>97714153051</v>
      </c>
      <c r="AA470" t="str">
        <f t="shared" si="48"/>
        <v>14153051</v>
      </c>
      <c r="AB470" t="str">
        <f t="shared" si="49"/>
        <v>14153051</v>
      </c>
      <c r="AC470" t="str">
        <f t="shared" si="50"/>
        <v>+97714153051</v>
      </c>
      <c r="AD470" t="str">
        <f t="shared" si="51"/>
        <v>Landline</v>
      </c>
      <c r="AE470" t="str">
        <f t="shared" si="52"/>
        <v>Valid</v>
      </c>
    </row>
    <row r="471" spans="1:31" x14ac:dyDescent="0.3">
      <c r="A471" s="2" t="s">
        <v>2125</v>
      </c>
      <c r="B471" s="2" t="s">
        <v>2126</v>
      </c>
      <c r="C471" s="2" t="s">
        <v>2127</v>
      </c>
      <c r="D471" s="2" t="s">
        <v>1473</v>
      </c>
      <c r="E471" s="2" t="s">
        <v>2128</v>
      </c>
      <c r="F471" s="2" t="s">
        <v>2128</v>
      </c>
      <c r="G471" s="5" t="str" cm="1">
        <f t="array" ref="G471">IFERROR(INDEX(City_Lookup!$B$2:$B$297,MATCH(TRUE,ISNUMBER(SEARCH(City_Lookup!$A$2:$A$297,$F471&amp;" "&amp;$E471)),0)),"Not Available")</f>
        <v>Sindhuli</v>
      </c>
      <c r="H471" s="5" t="str">
        <f>IFERROR(INDEX(City_Lookup!$E$2:$E$66,MATCH($G471,City_Lookup!$D$2:$D$66,0)),"Not Available")</f>
        <v>Bagmati</v>
      </c>
      <c r="I471" s="2" t="s">
        <v>1259</v>
      </c>
      <c r="J471" s="5" t="s">
        <v>29</v>
      </c>
      <c r="K471" s="5">
        <v>30</v>
      </c>
      <c r="L471" s="2"/>
      <c r="M471" s="5">
        <f t="shared" si="46"/>
        <v>30</v>
      </c>
      <c r="N471" s="2" t="s">
        <v>2493</v>
      </c>
      <c r="O471" s="2">
        <v>1</v>
      </c>
      <c r="P471" s="2" t="s">
        <v>27</v>
      </c>
      <c r="Q471" s="2" t="s">
        <v>2129</v>
      </c>
      <c r="R471" s="2" t="s">
        <v>33</v>
      </c>
      <c r="S471" s="2" t="s">
        <v>27</v>
      </c>
      <c r="T471" s="2" t="s">
        <v>34</v>
      </c>
      <c r="U471" s="2" t="s">
        <v>35</v>
      </c>
      <c r="V471" s="2" t="s">
        <v>36</v>
      </c>
      <c r="W471" s="2" t="s">
        <v>37</v>
      </c>
      <c r="X471" s="6" t="s">
        <v>2486</v>
      </c>
      <c r="Y471" s="6" t="s">
        <v>2499</v>
      </c>
      <c r="Z471" t="str">
        <f t="shared" si="47"/>
        <v>97714153051</v>
      </c>
      <c r="AA471" t="str">
        <f t="shared" si="48"/>
        <v>14153051</v>
      </c>
      <c r="AB471" t="str">
        <f t="shared" si="49"/>
        <v>14153051</v>
      </c>
      <c r="AC471" t="str">
        <f t="shared" si="50"/>
        <v>+97714153051</v>
      </c>
      <c r="AD471" t="str">
        <f t="shared" si="51"/>
        <v>Landline</v>
      </c>
      <c r="AE471" t="str">
        <f t="shared" si="52"/>
        <v>Valid</v>
      </c>
    </row>
    <row r="472" spans="1:31" x14ac:dyDescent="0.3">
      <c r="A472" s="2" t="s">
        <v>2130</v>
      </c>
      <c r="B472" s="2" t="s">
        <v>2131</v>
      </c>
      <c r="C472" s="2" t="s">
        <v>2132</v>
      </c>
      <c r="D472" s="2" t="s">
        <v>1473</v>
      </c>
      <c r="E472" s="2" t="s">
        <v>2133</v>
      </c>
      <c r="F472" s="2" t="s">
        <v>2133</v>
      </c>
      <c r="G472" s="5" t="str" cm="1">
        <f t="array" ref="G472">IFERROR(INDEX(City_Lookup!$B$2:$B$297,MATCH(TRUE,ISNUMBER(SEARCH(City_Lookup!$A$2:$A$297,$F472&amp;" "&amp;$E472)),0)),"Not Available")</f>
        <v>Sindhuli</v>
      </c>
      <c r="H472" s="5" t="str">
        <f>IFERROR(INDEX(City_Lookup!$E$2:$E$66,MATCH($G472,City_Lookup!$D$2:$D$66,0)),"Not Available")</f>
        <v>Bagmati</v>
      </c>
      <c r="I472" s="2" t="s">
        <v>1259</v>
      </c>
      <c r="J472" s="5" t="s">
        <v>29</v>
      </c>
      <c r="K472" s="5">
        <v>30</v>
      </c>
      <c r="L472" s="2"/>
      <c r="M472" s="5">
        <f t="shared" si="46"/>
        <v>30</v>
      </c>
      <c r="N472" s="2" t="s">
        <v>2493</v>
      </c>
      <c r="O472" s="2">
        <v>1</v>
      </c>
      <c r="P472" s="2" t="s">
        <v>27</v>
      </c>
      <c r="Q472" s="2" t="s">
        <v>2134</v>
      </c>
      <c r="R472" s="2" t="s">
        <v>33</v>
      </c>
      <c r="S472" s="2" t="s">
        <v>27</v>
      </c>
      <c r="T472" s="2" t="s">
        <v>34</v>
      </c>
      <c r="U472" s="2" t="s">
        <v>35</v>
      </c>
      <c r="V472" s="2" t="s">
        <v>36</v>
      </c>
      <c r="W472" s="2" t="s">
        <v>37</v>
      </c>
      <c r="X472" s="6" t="s">
        <v>2486</v>
      </c>
      <c r="Y472" s="6" t="s">
        <v>2499</v>
      </c>
      <c r="Z472" t="str">
        <f t="shared" si="47"/>
        <v>97714153051</v>
      </c>
      <c r="AA472" t="str">
        <f t="shared" si="48"/>
        <v>14153051</v>
      </c>
      <c r="AB472" t="str">
        <f t="shared" si="49"/>
        <v>14153051</v>
      </c>
      <c r="AC472" t="str">
        <f t="shared" si="50"/>
        <v>+97714153051</v>
      </c>
      <c r="AD472" t="str">
        <f t="shared" si="51"/>
        <v>Landline</v>
      </c>
      <c r="AE472" t="str">
        <f t="shared" si="52"/>
        <v>Valid</v>
      </c>
    </row>
    <row r="473" spans="1:31" x14ac:dyDescent="0.3">
      <c r="A473" s="2" t="s">
        <v>2135</v>
      </c>
      <c r="B473" s="2" t="s">
        <v>2136</v>
      </c>
      <c r="C473" s="2" t="s">
        <v>2137</v>
      </c>
      <c r="D473" s="2" t="s">
        <v>1473</v>
      </c>
      <c r="E473" s="2" t="s">
        <v>2138</v>
      </c>
      <c r="F473" s="2" t="s">
        <v>2138</v>
      </c>
      <c r="G473" s="5" t="str" cm="1">
        <f t="array" ref="G473">IFERROR(INDEX(City_Lookup!$B$2:$B$297,MATCH(TRUE,ISNUMBER(SEARCH(City_Lookup!$A$2:$A$297,$F473&amp;" "&amp;$E473)),0)),"Not Available")</f>
        <v>Sindhuli</v>
      </c>
      <c r="H473" s="5" t="str">
        <f>IFERROR(INDEX(City_Lookup!$E$2:$E$66,MATCH($G473,City_Lookup!$D$2:$D$66,0)),"Not Available")</f>
        <v>Bagmati</v>
      </c>
      <c r="I473" s="2" t="s">
        <v>1259</v>
      </c>
      <c r="J473" s="5" t="s">
        <v>29</v>
      </c>
      <c r="K473" s="5">
        <v>30</v>
      </c>
      <c r="L473" s="2"/>
      <c r="M473" s="5">
        <f t="shared" si="46"/>
        <v>30</v>
      </c>
      <c r="N473" s="2" t="s">
        <v>2495</v>
      </c>
      <c r="O473" s="2">
        <v>1</v>
      </c>
      <c r="P473" s="2" t="s">
        <v>27</v>
      </c>
      <c r="Q473" s="2" t="s">
        <v>2139</v>
      </c>
      <c r="R473" s="2" t="s">
        <v>33</v>
      </c>
      <c r="S473" s="2" t="s">
        <v>27</v>
      </c>
      <c r="T473" s="2" t="s">
        <v>34</v>
      </c>
      <c r="U473" s="2" t="s">
        <v>35</v>
      </c>
      <c r="V473" s="2" t="s">
        <v>36</v>
      </c>
      <c r="W473" s="2" t="s">
        <v>37</v>
      </c>
      <c r="X473" s="6" t="s">
        <v>2486</v>
      </c>
      <c r="Y473" s="6" t="s">
        <v>2499</v>
      </c>
      <c r="Z473" t="str">
        <f t="shared" si="47"/>
        <v>97714153051</v>
      </c>
      <c r="AA473" t="str">
        <f t="shared" si="48"/>
        <v>14153051</v>
      </c>
      <c r="AB473" t="str">
        <f t="shared" si="49"/>
        <v>14153051</v>
      </c>
      <c r="AC473" t="str">
        <f t="shared" si="50"/>
        <v>+97714153051</v>
      </c>
      <c r="AD473" t="str">
        <f t="shared" si="51"/>
        <v>Landline</v>
      </c>
      <c r="AE473" t="str">
        <f t="shared" si="52"/>
        <v>Valid</v>
      </c>
    </row>
    <row r="474" spans="1:31" x14ac:dyDescent="0.3">
      <c r="A474" s="2" t="s">
        <v>2140</v>
      </c>
      <c r="B474" s="2" t="s">
        <v>2141</v>
      </c>
      <c r="C474" s="2" t="s">
        <v>2142</v>
      </c>
      <c r="D474" s="2" t="s">
        <v>1473</v>
      </c>
      <c r="E474" s="2" t="s">
        <v>2143</v>
      </c>
      <c r="F474" s="2" t="s">
        <v>2143</v>
      </c>
      <c r="G474" s="5" t="str" cm="1">
        <f t="array" ref="G474">IFERROR(INDEX(City_Lookup!$B$2:$B$297,MATCH(TRUE,ISNUMBER(SEARCH(City_Lookup!$A$2:$A$297,$F474&amp;" "&amp;$E474)),0)),"Not Available")</f>
        <v>Sindhuli</v>
      </c>
      <c r="H474" s="5" t="str">
        <f>IFERROR(INDEX(City_Lookup!$E$2:$E$66,MATCH($G474,City_Lookup!$D$2:$D$66,0)),"Not Available")</f>
        <v>Bagmati</v>
      </c>
      <c r="I474" s="2" t="s">
        <v>1259</v>
      </c>
      <c r="J474" s="5" t="s">
        <v>29</v>
      </c>
      <c r="K474" s="5">
        <v>30</v>
      </c>
      <c r="L474" s="2"/>
      <c r="M474" s="5">
        <f t="shared" si="46"/>
        <v>30</v>
      </c>
      <c r="N474" s="2" t="s">
        <v>2493</v>
      </c>
      <c r="O474" s="2">
        <v>1</v>
      </c>
      <c r="P474" s="2" t="s">
        <v>27</v>
      </c>
      <c r="Q474" s="2" t="s">
        <v>2144</v>
      </c>
      <c r="R474" s="2" t="s">
        <v>33</v>
      </c>
      <c r="S474" s="2" t="s">
        <v>27</v>
      </c>
      <c r="T474" s="2" t="s">
        <v>34</v>
      </c>
      <c r="U474" s="2" t="s">
        <v>35</v>
      </c>
      <c r="V474" s="2" t="s">
        <v>36</v>
      </c>
      <c r="W474" s="2" t="s">
        <v>37</v>
      </c>
      <c r="X474" s="6" t="s">
        <v>2486</v>
      </c>
      <c r="Y474" s="6" t="s">
        <v>2499</v>
      </c>
      <c r="Z474" t="str">
        <f t="shared" si="47"/>
        <v>97714153051</v>
      </c>
      <c r="AA474" t="str">
        <f t="shared" si="48"/>
        <v>14153051</v>
      </c>
      <c r="AB474" t="str">
        <f t="shared" si="49"/>
        <v>14153051</v>
      </c>
      <c r="AC474" t="str">
        <f t="shared" si="50"/>
        <v>+97714153051</v>
      </c>
      <c r="AD474" t="str">
        <f t="shared" si="51"/>
        <v>Landline</v>
      </c>
      <c r="AE474" t="str">
        <f t="shared" si="52"/>
        <v>Valid</v>
      </c>
    </row>
    <row r="475" spans="1:31" x14ac:dyDescent="0.3">
      <c r="A475" s="2" t="s">
        <v>2145</v>
      </c>
      <c r="B475" s="2" t="s">
        <v>2146</v>
      </c>
      <c r="C475" s="2" t="s">
        <v>2147</v>
      </c>
      <c r="D475" s="2" t="s">
        <v>1479</v>
      </c>
      <c r="E475" s="2" t="s">
        <v>2148</v>
      </c>
      <c r="F475" s="2" t="s">
        <v>2148</v>
      </c>
      <c r="G475" s="5" t="str" cm="1">
        <f t="array" ref="G475">IFERROR(INDEX(City_Lookup!$B$2:$B$297,MATCH(TRUE,ISNUMBER(SEARCH(City_Lookup!$A$2:$A$297,$F475&amp;" "&amp;$E475)),0)),"Not Available")</f>
        <v>Sindhupalchok</v>
      </c>
      <c r="H475" s="5" t="str">
        <f>IFERROR(INDEX(City_Lookup!$E$2:$E$66,MATCH($G475,City_Lookup!$D$2:$D$66,0)),"Not Available")</f>
        <v>Bagmati</v>
      </c>
      <c r="I475" s="2" t="s">
        <v>1259</v>
      </c>
      <c r="J475" s="5" t="s">
        <v>29</v>
      </c>
      <c r="K475" s="5">
        <v>30</v>
      </c>
      <c r="L475" s="2"/>
      <c r="M475" s="5">
        <f t="shared" si="46"/>
        <v>30</v>
      </c>
      <c r="N475" s="2" t="s">
        <v>2493</v>
      </c>
      <c r="O475" s="2">
        <v>1</v>
      </c>
      <c r="P475" s="2" t="s">
        <v>27</v>
      </c>
      <c r="Q475" s="2" t="s">
        <v>2149</v>
      </c>
      <c r="R475" s="2" t="s">
        <v>33</v>
      </c>
      <c r="S475" s="2" t="s">
        <v>27</v>
      </c>
      <c r="T475" s="2" t="s">
        <v>34</v>
      </c>
      <c r="U475" s="2" t="s">
        <v>35</v>
      </c>
      <c r="V475" s="2" t="s">
        <v>36</v>
      </c>
      <c r="W475" s="2" t="s">
        <v>37</v>
      </c>
      <c r="X475" s="6" t="s">
        <v>2486</v>
      </c>
      <c r="Y475" s="6" t="s">
        <v>2499</v>
      </c>
      <c r="Z475" t="str">
        <f t="shared" si="47"/>
        <v>97714153051</v>
      </c>
      <c r="AA475" t="str">
        <f t="shared" si="48"/>
        <v>14153051</v>
      </c>
      <c r="AB475" t="str">
        <f t="shared" si="49"/>
        <v>14153051</v>
      </c>
      <c r="AC475" t="str">
        <f t="shared" si="50"/>
        <v>+97714153051</v>
      </c>
      <c r="AD475" t="str">
        <f t="shared" si="51"/>
        <v>Landline</v>
      </c>
      <c r="AE475" t="str">
        <f t="shared" si="52"/>
        <v>Valid</v>
      </c>
    </row>
    <row r="476" spans="1:31" x14ac:dyDescent="0.3">
      <c r="A476" s="2" t="s">
        <v>2150</v>
      </c>
      <c r="B476" s="2" t="s">
        <v>2151</v>
      </c>
      <c r="C476" s="2" t="s">
        <v>2152</v>
      </c>
      <c r="D476" s="2" t="s">
        <v>1479</v>
      </c>
      <c r="E476" s="2" t="s">
        <v>2153</v>
      </c>
      <c r="F476" s="2" t="s">
        <v>2153</v>
      </c>
      <c r="G476" s="5" t="str" cm="1">
        <f t="array" ref="G476">IFERROR(INDEX(City_Lookup!$B$2:$B$297,MATCH(TRUE,ISNUMBER(SEARCH(City_Lookup!$A$2:$A$297,$F476&amp;" "&amp;$E476)),0)),"Not Available")</f>
        <v>Sindhupalchok</v>
      </c>
      <c r="H476" s="5" t="str">
        <f>IFERROR(INDEX(City_Lookup!$E$2:$E$66,MATCH($G476,City_Lookup!$D$2:$D$66,0)),"Not Available")</f>
        <v>Bagmati</v>
      </c>
      <c r="I476" s="2" t="s">
        <v>1259</v>
      </c>
      <c r="J476" s="5" t="s">
        <v>29</v>
      </c>
      <c r="K476" s="5">
        <v>30</v>
      </c>
      <c r="L476" s="2"/>
      <c r="M476" s="5">
        <f t="shared" si="46"/>
        <v>30</v>
      </c>
      <c r="N476" s="2" t="s">
        <v>2493</v>
      </c>
      <c r="O476" s="2">
        <v>1</v>
      </c>
      <c r="P476" s="2" t="s">
        <v>27</v>
      </c>
      <c r="Q476" s="2" t="s">
        <v>2154</v>
      </c>
      <c r="R476" s="2" t="s">
        <v>33</v>
      </c>
      <c r="S476" s="2" t="s">
        <v>27</v>
      </c>
      <c r="T476" s="2" t="s">
        <v>34</v>
      </c>
      <c r="U476" s="2" t="s">
        <v>35</v>
      </c>
      <c r="V476" s="2" t="s">
        <v>36</v>
      </c>
      <c r="W476" s="2" t="s">
        <v>37</v>
      </c>
      <c r="X476" s="6" t="s">
        <v>2486</v>
      </c>
      <c r="Y476" s="6" t="s">
        <v>2499</v>
      </c>
      <c r="Z476" t="str">
        <f t="shared" si="47"/>
        <v>97714153051</v>
      </c>
      <c r="AA476" t="str">
        <f t="shared" si="48"/>
        <v>14153051</v>
      </c>
      <c r="AB476" t="str">
        <f t="shared" si="49"/>
        <v>14153051</v>
      </c>
      <c r="AC476" t="str">
        <f t="shared" si="50"/>
        <v>+97714153051</v>
      </c>
      <c r="AD476" t="str">
        <f t="shared" si="51"/>
        <v>Landline</v>
      </c>
      <c r="AE476" t="str">
        <f t="shared" si="52"/>
        <v>Valid</v>
      </c>
    </row>
    <row r="477" spans="1:31" x14ac:dyDescent="0.3">
      <c r="A477" s="2" t="s">
        <v>2155</v>
      </c>
      <c r="B477" s="2" t="s">
        <v>2156</v>
      </c>
      <c r="C477" s="2" t="s">
        <v>2157</v>
      </c>
      <c r="D477" s="2" t="s">
        <v>1479</v>
      </c>
      <c r="E477" s="2" t="s">
        <v>2158</v>
      </c>
      <c r="F477" s="2" t="s">
        <v>2158</v>
      </c>
      <c r="G477" s="5" t="str" cm="1">
        <f t="array" ref="G477">IFERROR(INDEX(City_Lookup!$B$2:$B$297,MATCH(TRUE,ISNUMBER(SEARCH(City_Lookup!$A$2:$A$297,$F477&amp;" "&amp;$E477)),0)),"Not Available")</f>
        <v>Makwanpur</v>
      </c>
      <c r="H477" s="5" t="str">
        <f>IFERROR(INDEX(City_Lookup!$E$2:$E$66,MATCH($G477,City_Lookup!$D$2:$D$66,0)),"Not Available")</f>
        <v>Bagmati</v>
      </c>
      <c r="I477" s="2" t="s">
        <v>1259</v>
      </c>
      <c r="J477" s="5" t="s">
        <v>29</v>
      </c>
      <c r="K477" s="5">
        <v>30</v>
      </c>
      <c r="L477" s="2"/>
      <c r="M477" s="5">
        <f t="shared" si="46"/>
        <v>30</v>
      </c>
      <c r="N477" s="2" t="s">
        <v>2495</v>
      </c>
      <c r="O477" s="2">
        <v>1</v>
      </c>
      <c r="P477" s="2" t="s">
        <v>27</v>
      </c>
      <c r="Q477" s="2" t="s">
        <v>2159</v>
      </c>
      <c r="R477" s="2" t="s">
        <v>33</v>
      </c>
      <c r="S477" s="2" t="s">
        <v>27</v>
      </c>
      <c r="T477" s="2" t="s">
        <v>34</v>
      </c>
      <c r="U477" s="2" t="s">
        <v>35</v>
      </c>
      <c r="V477" s="2" t="s">
        <v>36</v>
      </c>
      <c r="W477" s="2" t="s">
        <v>37</v>
      </c>
      <c r="X477" s="6" t="s">
        <v>2486</v>
      </c>
      <c r="Y477" s="6" t="s">
        <v>2499</v>
      </c>
      <c r="Z477" t="str">
        <f t="shared" si="47"/>
        <v>97714153051</v>
      </c>
      <c r="AA477" t="str">
        <f t="shared" si="48"/>
        <v>14153051</v>
      </c>
      <c r="AB477" t="str">
        <f t="shared" si="49"/>
        <v>14153051</v>
      </c>
      <c r="AC477" t="str">
        <f t="shared" si="50"/>
        <v>+97714153051</v>
      </c>
      <c r="AD477" t="str">
        <f t="shared" si="51"/>
        <v>Landline</v>
      </c>
      <c r="AE477" t="str">
        <f t="shared" si="52"/>
        <v>Valid</v>
      </c>
    </row>
    <row r="478" spans="1:31" x14ac:dyDescent="0.3">
      <c r="A478" s="2" t="s">
        <v>2160</v>
      </c>
      <c r="B478" s="2" t="s">
        <v>2161</v>
      </c>
      <c r="C478" s="2" t="s">
        <v>2162</v>
      </c>
      <c r="D478" s="2" t="s">
        <v>1479</v>
      </c>
      <c r="E478" s="2" t="s">
        <v>2163</v>
      </c>
      <c r="F478" s="2" t="s">
        <v>2163</v>
      </c>
      <c r="G478" s="5" t="str" cm="1">
        <f t="array" ref="G478">IFERROR(INDEX(City_Lookup!$B$2:$B$297,MATCH(TRUE,ISNUMBER(SEARCH(City_Lookup!$A$2:$A$297,$F478&amp;" "&amp;$E478)),0)),"Not Available")</f>
        <v>Tanahun</v>
      </c>
      <c r="H478" s="5" t="str">
        <f>IFERROR(INDEX(City_Lookup!$E$2:$E$66,MATCH($G478,City_Lookup!$D$2:$D$66,0)),"Not Available")</f>
        <v>Gandaki</v>
      </c>
      <c r="I478" s="2" t="s">
        <v>1259</v>
      </c>
      <c r="J478" s="5" t="s">
        <v>29</v>
      </c>
      <c r="K478" s="5">
        <v>30</v>
      </c>
      <c r="L478" s="2"/>
      <c r="M478" s="5">
        <f t="shared" si="46"/>
        <v>30</v>
      </c>
      <c r="N478" s="2" t="s">
        <v>2493</v>
      </c>
      <c r="O478" s="2">
        <v>1</v>
      </c>
      <c r="P478" s="2" t="s">
        <v>27</v>
      </c>
      <c r="Q478" s="2" t="s">
        <v>2164</v>
      </c>
      <c r="R478" s="2" t="s">
        <v>33</v>
      </c>
      <c r="S478" s="2" t="s">
        <v>27</v>
      </c>
      <c r="T478" s="2" t="s">
        <v>34</v>
      </c>
      <c r="U478" s="2" t="s">
        <v>35</v>
      </c>
      <c r="V478" s="2" t="s">
        <v>36</v>
      </c>
      <c r="W478" s="2" t="s">
        <v>37</v>
      </c>
      <c r="X478" s="6" t="s">
        <v>2486</v>
      </c>
      <c r="Y478" s="6" t="s">
        <v>2499</v>
      </c>
      <c r="Z478" t="str">
        <f t="shared" si="47"/>
        <v>97714153051</v>
      </c>
      <c r="AA478" t="str">
        <f t="shared" si="48"/>
        <v>14153051</v>
      </c>
      <c r="AB478" t="str">
        <f t="shared" si="49"/>
        <v>14153051</v>
      </c>
      <c r="AC478" t="str">
        <f t="shared" si="50"/>
        <v>+97714153051</v>
      </c>
      <c r="AD478" t="str">
        <f t="shared" si="51"/>
        <v>Landline</v>
      </c>
      <c r="AE478" t="str">
        <f t="shared" si="52"/>
        <v>Valid</v>
      </c>
    </row>
    <row r="479" spans="1:31" x14ac:dyDescent="0.3">
      <c r="A479" s="2" t="s">
        <v>2165</v>
      </c>
      <c r="B479" s="2" t="s">
        <v>2166</v>
      </c>
      <c r="C479" s="2" t="s">
        <v>2167</v>
      </c>
      <c r="D479" s="2" t="s">
        <v>1479</v>
      </c>
      <c r="E479" s="2" t="s">
        <v>2168</v>
      </c>
      <c r="F479" s="2" t="s">
        <v>2168</v>
      </c>
      <c r="G479" s="5" t="str" cm="1">
        <f t="array" ref="G479">IFERROR(INDEX(City_Lookup!$B$2:$B$297,MATCH(TRUE,ISNUMBER(SEARCH(City_Lookup!$A$2:$A$297,$F479&amp;" "&amp;$E479)),0)),"Not Available")</f>
        <v>Baglung</v>
      </c>
      <c r="H479" s="5" t="str">
        <f>IFERROR(INDEX(City_Lookup!$E$2:$E$66,MATCH($G479,City_Lookup!$D$2:$D$66,0)),"Not Available")</f>
        <v>Gandaki</v>
      </c>
      <c r="I479" s="2" t="s">
        <v>1259</v>
      </c>
      <c r="J479" s="5" t="s">
        <v>29</v>
      </c>
      <c r="K479" s="5">
        <v>30</v>
      </c>
      <c r="L479" s="2"/>
      <c r="M479" s="5">
        <f t="shared" si="46"/>
        <v>30</v>
      </c>
      <c r="N479" s="2" t="s">
        <v>2494</v>
      </c>
      <c r="O479" s="2">
        <v>1</v>
      </c>
      <c r="P479" s="2" t="s">
        <v>27</v>
      </c>
      <c r="Q479" s="2" t="s">
        <v>2169</v>
      </c>
      <c r="R479" s="2" t="s">
        <v>33</v>
      </c>
      <c r="S479" s="2" t="s">
        <v>27</v>
      </c>
      <c r="T479" s="2" t="s">
        <v>34</v>
      </c>
      <c r="U479" s="2" t="s">
        <v>35</v>
      </c>
      <c r="V479" s="2" t="s">
        <v>36</v>
      </c>
      <c r="W479" s="2" t="s">
        <v>37</v>
      </c>
      <c r="X479" s="6" t="s">
        <v>2486</v>
      </c>
      <c r="Y479" s="6" t="s">
        <v>2499</v>
      </c>
      <c r="Z479" t="str">
        <f t="shared" si="47"/>
        <v>97714153051</v>
      </c>
      <c r="AA479" t="str">
        <f t="shared" si="48"/>
        <v>14153051</v>
      </c>
      <c r="AB479" t="str">
        <f t="shared" si="49"/>
        <v>14153051</v>
      </c>
      <c r="AC479" t="str">
        <f t="shared" si="50"/>
        <v>+97714153051</v>
      </c>
      <c r="AD479" t="str">
        <f t="shared" si="51"/>
        <v>Landline</v>
      </c>
      <c r="AE479" t="str">
        <f t="shared" si="52"/>
        <v>Valid</v>
      </c>
    </row>
    <row r="480" spans="1:31" x14ac:dyDescent="0.3">
      <c r="A480" s="2" t="s">
        <v>2170</v>
      </c>
      <c r="B480" s="2" t="s">
        <v>2171</v>
      </c>
      <c r="C480" s="2" t="s">
        <v>2172</v>
      </c>
      <c r="D480" s="2" t="s">
        <v>1473</v>
      </c>
      <c r="E480" s="2" t="s">
        <v>2173</v>
      </c>
      <c r="F480" s="2" t="s">
        <v>2173</v>
      </c>
      <c r="G480" s="5" t="str" cm="1">
        <f t="array" ref="G480">IFERROR(INDEX(City_Lookup!$B$2:$B$297,MATCH(TRUE,ISNUMBER(SEARCH(City_Lookup!$A$2:$A$297,$F480&amp;" "&amp;$E480)),0)),"Not Available")</f>
        <v>Lamjung</v>
      </c>
      <c r="H480" s="5" t="str">
        <f>IFERROR(INDEX(City_Lookup!$E$2:$E$66,MATCH($G480,City_Lookup!$D$2:$D$66,0)),"Not Available")</f>
        <v>Gandaki</v>
      </c>
      <c r="I480" s="2" t="s">
        <v>1259</v>
      </c>
      <c r="J480" s="5" t="s">
        <v>29</v>
      </c>
      <c r="K480" s="5">
        <v>30</v>
      </c>
      <c r="L480" s="2"/>
      <c r="M480" s="5">
        <f t="shared" si="46"/>
        <v>30</v>
      </c>
      <c r="N480" s="2" t="s">
        <v>2493</v>
      </c>
      <c r="O480" s="2">
        <v>1</v>
      </c>
      <c r="P480" s="2" t="s">
        <v>27</v>
      </c>
      <c r="Q480" s="2" t="s">
        <v>2174</v>
      </c>
      <c r="R480" s="2" t="s">
        <v>33</v>
      </c>
      <c r="S480" s="2" t="s">
        <v>27</v>
      </c>
      <c r="T480" s="2" t="s">
        <v>34</v>
      </c>
      <c r="U480" s="2" t="s">
        <v>35</v>
      </c>
      <c r="V480" s="2" t="s">
        <v>36</v>
      </c>
      <c r="W480" s="2" t="s">
        <v>37</v>
      </c>
      <c r="X480" s="6" t="s">
        <v>2486</v>
      </c>
      <c r="Y480" s="6" t="s">
        <v>2499</v>
      </c>
      <c r="Z480" t="str">
        <f t="shared" si="47"/>
        <v>97714153051</v>
      </c>
      <c r="AA480" t="str">
        <f t="shared" si="48"/>
        <v>14153051</v>
      </c>
      <c r="AB480" t="str">
        <f t="shared" si="49"/>
        <v>14153051</v>
      </c>
      <c r="AC480" t="str">
        <f t="shared" si="50"/>
        <v>+97714153051</v>
      </c>
      <c r="AD480" t="str">
        <f t="shared" si="51"/>
        <v>Landline</v>
      </c>
      <c r="AE480" t="str">
        <f t="shared" si="52"/>
        <v>Valid</v>
      </c>
    </row>
    <row r="481" spans="1:31" x14ac:dyDescent="0.3">
      <c r="A481" s="2" t="s">
        <v>2175</v>
      </c>
      <c r="B481" s="2" t="s">
        <v>2176</v>
      </c>
      <c r="C481" s="2" t="s">
        <v>2177</v>
      </c>
      <c r="D481" s="2" t="s">
        <v>1479</v>
      </c>
      <c r="E481" s="2" t="s">
        <v>2178</v>
      </c>
      <c r="F481" s="2" t="s">
        <v>2178</v>
      </c>
      <c r="G481" s="5" t="str" cm="1">
        <f t="array" ref="G481">IFERROR(INDEX(City_Lookup!$B$2:$B$297,MATCH(TRUE,ISNUMBER(SEARCH(City_Lookup!$A$2:$A$297,$F481&amp;" "&amp;$E481)),0)),"Not Available")</f>
        <v>Lamjung</v>
      </c>
      <c r="H481" s="5" t="str">
        <f>IFERROR(INDEX(City_Lookup!$E$2:$E$66,MATCH($G481,City_Lookup!$D$2:$D$66,0)),"Not Available")</f>
        <v>Gandaki</v>
      </c>
      <c r="I481" s="2" t="s">
        <v>1259</v>
      </c>
      <c r="J481" s="5" t="s">
        <v>29</v>
      </c>
      <c r="K481" s="5">
        <v>30</v>
      </c>
      <c r="L481" s="2"/>
      <c r="M481" s="5">
        <f t="shared" si="46"/>
        <v>30</v>
      </c>
      <c r="N481" s="2" t="s">
        <v>2493</v>
      </c>
      <c r="O481" s="2">
        <v>1</v>
      </c>
      <c r="P481" s="2" t="s">
        <v>27</v>
      </c>
      <c r="Q481" s="2" t="s">
        <v>2179</v>
      </c>
      <c r="R481" s="2" t="s">
        <v>33</v>
      </c>
      <c r="S481" s="2" t="s">
        <v>27</v>
      </c>
      <c r="T481" s="2" t="s">
        <v>34</v>
      </c>
      <c r="U481" s="2" t="s">
        <v>35</v>
      </c>
      <c r="V481" s="2" t="s">
        <v>36</v>
      </c>
      <c r="W481" s="2" t="s">
        <v>37</v>
      </c>
      <c r="X481" s="6" t="s">
        <v>2486</v>
      </c>
      <c r="Y481" s="6" t="s">
        <v>2499</v>
      </c>
      <c r="Z481" t="str">
        <f t="shared" si="47"/>
        <v>97714153051</v>
      </c>
      <c r="AA481" t="str">
        <f t="shared" si="48"/>
        <v>14153051</v>
      </c>
      <c r="AB481" t="str">
        <f t="shared" si="49"/>
        <v>14153051</v>
      </c>
      <c r="AC481" t="str">
        <f t="shared" si="50"/>
        <v>+97714153051</v>
      </c>
      <c r="AD481" t="str">
        <f t="shared" si="51"/>
        <v>Landline</v>
      </c>
      <c r="AE481" t="str">
        <f t="shared" si="52"/>
        <v>Valid</v>
      </c>
    </row>
    <row r="482" spans="1:31" x14ac:dyDescent="0.3">
      <c r="A482" s="2" t="s">
        <v>2180</v>
      </c>
      <c r="B482" s="2" t="s">
        <v>2181</v>
      </c>
      <c r="C482" s="2" t="s">
        <v>2182</v>
      </c>
      <c r="D482" s="2" t="s">
        <v>1479</v>
      </c>
      <c r="E482" s="2" t="s">
        <v>2183</v>
      </c>
      <c r="F482" s="2" t="s">
        <v>2183</v>
      </c>
      <c r="G482" s="5" t="str" cm="1">
        <f t="array" ref="G482">IFERROR(INDEX(City_Lookup!$B$2:$B$297,MATCH(TRUE,ISNUMBER(SEARCH(City_Lookup!$A$2:$A$297,$F482&amp;" "&amp;$E482)),0)),"Not Available")</f>
        <v>Tanahun</v>
      </c>
      <c r="H482" s="5" t="str">
        <f>IFERROR(INDEX(City_Lookup!$E$2:$E$66,MATCH($G482,City_Lookup!$D$2:$D$66,0)),"Not Available")</f>
        <v>Gandaki</v>
      </c>
      <c r="I482" s="2" t="s">
        <v>1259</v>
      </c>
      <c r="J482" s="5" t="s">
        <v>29</v>
      </c>
      <c r="K482" s="5">
        <v>30</v>
      </c>
      <c r="L482" s="2"/>
      <c r="M482" s="5">
        <f t="shared" ref="M482:M518" si="53">IF($K482&lt;&gt;"",$K482,$L482)</f>
        <v>30</v>
      </c>
      <c r="N482" s="2" t="s">
        <v>2493</v>
      </c>
      <c r="O482" s="2">
        <v>1</v>
      </c>
      <c r="P482" s="2" t="s">
        <v>27</v>
      </c>
      <c r="Q482" s="2" t="s">
        <v>2184</v>
      </c>
      <c r="R482" s="2" t="s">
        <v>33</v>
      </c>
      <c r="S482" s="2" t="s">
        <v>27</v>
      </c>
      <c r="T482" s="2" t="s">
        <v>34</v>
      </c>
      <c r="U482" s="2" t="s">
        <v>35</v>
      </c>
      <c r="V482" s="2" t="s">
        <v>36</v>
      </c>
      <c r="W482" s="2" t="s">
        <v>37</v>
      </c>
      <c r="X482" s="6" t="s">
        <v>2486</v>
      </c>
      <c r="Y482" s="6" t="s">
        <v>2499</v>
      </c>
      <c r="Z482" t="str">
        <f t="shared" si="47"/>
        <v>97714153051</v>
      </c>
      <c r="AA482" t="str">
        <f t="shared" si="48"/>
        <v>14153051</v>
      </c>
      <c r="AB482" t="str">
        <f t="shared" si="49"/>
        <v>14153051</v>
      </c>
      <c r="AC482" t="str">
        <f t="shared" si="50"/>
        <v>+97714153051</v>
      </c>
      <c r="AD482" t="str">
        <f t="shared" si="51"/>
        <v>Landline</v>
      </c>
      <c r="AE482" t="str">
        <f t="shared" si="52"/>
        <v>Valid</v>
      </c>
    </row>
    <row r="483" spans="1:31" x14ac:dyDescent="0.3">
      <c r="A483" s="2" t="s">
        <v>2185</v>
      </c>
      <c r="B483" s="2" t="s">
        <v>2186</v>
      </c>
      <c r="C483" s="2" t="s">
        <v>2187</v>
      </c>
      <c r="D483" s="2" t="s">
        <v>1479</v>
      </c>
      <c r="E483" s="2" t="s">
        <v>2188</v>
      </c>
      <c r="F483" s="2" t="s">
        <v>2188</v>
      </c>
      <c r="G483" s="5" t="str" cm="1">
        <f t="array" ref="G483">IFERROR(INDEX(City_Lookup!$B$2:$B$297,MATCH(TRUE,ISNUMBER(SEARCH(City_Lookup!$A$2:$A$297,$F483&amp;" "&amp;$E483)),0)),"Not Available")</f>
        <v>Tanahun</v>
      </c>
      <c r="H483" s="5" t="str">
        <f>IFERROR(INDEX(City_Lookup!$E$2:$E$66,MATCH($G483,City_Lookup!$D$2:$D$66,0)),"Not Available")</f>
        <v>Gandaki</v>
      </c>
      <c r="I483" s="2" t="s">
        <v>1259</v>
      </c>
      <c r="J483" s="5" t="s">
        <v>29</v>
      </c>
      <c r="K483" s="5">
        <v>30</v>
      </c>
      <c r="L483" s="2"/>
      <c r="M483" s="5">
        <f t="shared" si="53"/>
        <v>30</v>
      </c>
      <c r="N483" s="2" t="s">
        <v>2493</v>
      </c>
      <c r="O483" s="2">
        <v>1</v>
      </c>
      <c r="P483" s="2" t="s">
        <v>27</v>
      </c>
      <c r="Q483" s="2" t="s">
        <v>2189</v>
      </c>
      <c r="R483" s="2" t="s">
        <v>33</v>
      </c>
      <c r="S483" s="2" t="s">
        <v>27</v>
      </c>
      <c r="T483" s="2" t="s">
        <v>34</v>
      </c>
      <c r="U483" s="2" t="s">
        <v>35</v>
      </c>
      <c r="V483" s="2" t="s">
        <v>36</v>
      </c>
      <c r="W483" s="2" t="s">
        <v>37</v>
      </c>
      <c r="X483" s="6" t="s">
        <v>2486</v>
      </c>
      <c r="Y483" s="6" t="s">
        <v>2499</v>
      </c>
      <c r="Z483" t="str">
        <f t="shared" si="47"/>
        <v>97714153051</v>
      </c>
      <c r="AA483" t="str">
        <f t="shared" si="48"/>
        <v>14153051</v>
      </c>
      <c r="AB483" t="str">
        <f t="shared" si="49"/>
        <v>14153051</v>
      </c>
      <c r="AC483" t="str">
        <f t="shared" si="50"/>
        <v>+97714153051</v>
      </c>
      <c r="AD483" t="str">
        <f t="shared" si="51"/>
        <v>Landline</v>
      </c>
      <c r="AE483" t="str">
        <f t="shared" si="52"/>
        <v>Valid</v>
      </c>
    </row>
    <row r="484" spans="1:31" x14ac:dyDescent="0.3">
      <c r="A484" s="2" t="s">
        <v>2190</v>
      </c>
      <c r="B484" s="2" t="s">
        <v>2191</v>
      </c>
      <c r="C484" s="2" t="s">
        <v>2192</v>
      </c>
      <c r="D484" s="2" t="s">
        <v>1479</v>
      </c>
      <c r="E484" s="2" t="s">
        <v>2193</v>
      </c>
      <c r="F484" s="2" t="s">
        <v>2193</v>
      </c>
      <c r="G484" s="5" t="str" cm="1">
        <f t="array" ref="G484">IFERROR(INDEX(City_Lookup!$B$2:$B$297,MATCH(TRUE,ISNUMBER(SEARCH(City_Lookup!$A$2:$A$297,$F484&amp;" "&amp;$E484)),0)),"Not Available")</f>
        <v>Tanahun</v>
      </c>
      <c r="H484" s="5" t="str">
        <f>IFERROR(INDEX(City_Lookup!$E$2:$E$66,MATCH($G484,City_Lookup!$D$2:$D$66,0)),"Not Available")</f>
        <v>Gandaki</v>
      </c>
      <c r="I484" s="2" t="s">
        <v>1259</v>
      </c>
      <c r="J484" s="5" t="s">
        <v>29</v>
      </c>
      <c r="K484" s="5">
        <v>30</v>
      </c>
      <c r="L484" s="2"/>
      <c r="M484" s="5">
        <f t="shared" si="53"/>
        <v>30</v>
      </c>
      <c r="N484" s="2" t="s">
        <v>2493</v>
      </c>
      <c r="O484" s="2">
        <v>1</v>
      </c>
      <c r="P484" s="2" t="s">
        <v>27</v>
      </c>
      <c r="Q484" s="2" t="s">
        <v>2195</v>
      </c>
      <c r="R484" s="2" t="s">
        <v>33</v>
      </c>
      <c r="S484" s="2" t="s">
        <v>27</v>
      </c>
      <c r="T484" s="2" t="s">
        <v>34</v>
      </c>
      <c r="U484" s="2" t="s">
        <v>35</v>
      </c>
      <c r="V484" s="2" t="s">
        <v>36</v>
      </c>
      <c r="W484" s="2" t="s">
        <v>37</v>
      </c>
      <c r="X484" s="6" t="s">
        <v>2486</v>
      </c>
      <c r="Y484" s="6" t="s">
        <v>2499</v>
      </c>
      <c r="Z484" t="str">
        <f t="shared" si="47"/>
        <v>97714153051</v>
      </c>
      <c r="AA484" t="str">
        <f t="shared" si="48"/>
        <v>14153051</v>
      </c>
      <c r="AB484" t="str">
        <f t="shared" si="49"/>
        <v>14153051</v>
      </c>
      <c r="AC484" t="str">
        <f t="shared" si="50"/>
        <v>+97714153051</v>
      </c>
      <c r="AD484" t="str">
        <f t="shared" si="51"/>
        <v>Landline</v>
      </c>
      <c r="AE484" t="str">
        <f t="shared" si="52"/>
        <v>Valid</v>
      </c>
    </row>
    <row r="485" spans="1:31" x14ac:dyDescent="0.3">
      <c r="A485" s="2" t="s">
        <v>2196</v>
      </c>
      <c r="B485" s="2" t="s">
        <v>2197</v>
      </c>
      <c r="C485" s="2" t="s">
        <v>2198</v>
      </c>
      <c r="D485" s="2" t="s">
        <v>1479</v>
      </c>
      <c r="E485" s="2" t="s">
        <v>2199</v>
      </c>
      <c r="F485" s="2" t="s">
        <v>2199</v>
      </c>
      <c r="G485" s="5" t="str" cm="1">
        <f t="array" ref="G485">IFERROR(INDEX(City_Lookup!$B$2:$B$297,MATCH(TRUE,ISNUMBER(SEARCH(City_Lookup!$A$2:$A$297,$F485&amp;" "&amp;$E485)),0)),"Not Available")</f>
        <v>Kathmandu</v>
      </c>
      <c r="H485" s="5" t="str">
        <f>IFERROR(INDEX(City_Lookup!$E$2:$E$66,MATCH($G485,City_Lookup!$D$2:$D$66,0)),"Not Available")</f>
        <v>Bagmati</v>
      </c>
      <c r="I485" s="2" t="s">
        <v>1259</v>
      </c>
      <c r="J485" s="5" t="s">
        <v>29</v>
      </c>
      <c r="K485" s="5">
        <v>30</v>
      </c>
      <c r="L485" s="2"/>
      <c r="M485" s="5">
        <f t="shared" si="53"/>
        <v>30</v>
      </c>
      <c r="N485" s="2" t="s">
        <v>2493</v>
      </c>
      <c r="O485" s="2">
        <v>1</v>
      </c>
      <c r="P485" s="2" t="s">
        <v>27</v>
      </c>
      <c r="Q485" s="2" t="s">
        <v>2200</v>
      </c>
      <c r="R485" s="2" t="s">
        <v>33</v>
      </c>
      <c r="S485" s="2" t="s">
        <v>27</v>
      </c>
      <c r="T485" s="2" t="s">
        <v>34</v>
      </c>
      <c r="U485" s="2" t="s">
        <v>35</v>
      </c>
      <c r="V485" s="2" t="s">
        <v>36</v>
      </c>
      <c r="W485" s="2" t="s">
        <v>37</v>
      </c>
      <c r="X485" s="6" t="s">
        <v>2486</v>
      </c>
      <c r="Y485" s="6" t="s">
        <v>2499</v>
      </c>
      <c r="Z485" t="str">
        <f t="shared" si="47"/>
        <v>97714153051</v>
      </c>
      <c r="AA485" t="str">
        <f t="shared" si="48"/>
        <v>14153051</v>
      </c>
      <c r="AB485" t="str">
        <f t="shared" si="49"/>
        <v>14153051</v>
      </c>
      <c r="AC485" t="str">
        <f t="shared" si="50"/>
        <v>+97714153051</v>
      </c>
      <c r="AD485" t="str">
        <f t="shared" si="51"/>
        <v>Landline</v>
      </c>
      <c r="AE485" t="str">
        <f t="shared" si="52"/>
        <v>Valid</v>
      </c>
    </row>
    <row r="486" spans="1:31" x14ac:dyDescent="0.3">
      <c r="A486" s="2" t="s">
        <v>2201</v>
      </c>
      <c r="B486" s="2" t="s">
        <v>2202</v>
      </c>
      <c r="C486" s="2" t="s">
        <v>2203</v>
      </c>
      <c r="D486" s="2" t="s">
        <v>1473</v>
      </c>
      <c r="E486" s="2" t="s">
        <v>2204</v>
      </c>
      <c r="F486" s="2" t="s">
        <v>2204</v>
      </c>
      <c r="G486" s="5" t="str" cm="1">
        <f t="array" ref="G486">IFERROR(INDEX(City_Lookup!$B$2:$B$297,MATCH(TRUE,ISNUMBER(SEARCH(City_Lookup!$A$2:$A$297,$F486&amp;" "&amp;$E486)),0)),"Not Available")</f>
        <v>Parbat</v>
      </c>
      <c r="H486" s="5" t="str">
        <f>IFERROR(INDEX(City_Lookup!$E$2:$E$66,MATCH($G486,City_Lookup!$D$2:$D$66,0)),"Not Available")</f>
        <v>Gandaki</v>
      </c>
      <c r="I486" s="2" t="s">
        <v>1259</v>
      </c>
      <c r="J486" s="5" t="s">
        <v>29</v>
      </c>
      <c r="K486" s="5">
        <v>30</v>
      </c>
      <c r="L486" s="2"/>
      <c r="M486" s="5">
        <f t="shared" si="53"/>
        <v>30</v>
      </c>
      <c r="N486" s="2" t="s">
        <v>2494</v>
      </c>
      <c r="O486" s="2">
        <v>1</v>
      </c>
      <c r="P486" s="2" t="s">
        <v>27</v>
      </c>
      <c r="Q486" s="2" t="s">
        <v>2205</v>
      </c>
      <c r="R486" s="2" t="s">
        <v>33</v>
      </c>
      <c r="S486" s="2" t="s">
        <v>27</v>
      </c>
      <c r="T486" s="2" t="s">
        <v>34</v>
      </c>
      <c r="U486" s="2" t="s">
        <v>35</v>
      </c>
      <c r="V486" s="2" t="s">
        <v>36</v>
      </c>
      <c r="W486" s="2" t="s">
        <v>37</v>
      </c>
      <c r="X486" s="6" t="s">
        <v>2486</v>
      </c>
      <c r="Y486" s="6" t="s">
        <v>2499</v>
      </c>
      <c r="Z486" t="str">
        <f t="shared" si="47"/>
        <v>97714153051</v>
      </c>
      <c r="AA486" t="str">
        <f t="shared" si="48"/>
        <v>14153051</v>
      </c>
      <c r="AB486" t="str">
        <f t="shared" si="49"/>
        <v>14153051</v>
      </c>
      <c r="AC486" t="str">
        <f t="shared" si="50"/>
        <v>+97714153051</v>
      </c>
      <c r="AD486" t="str">
        <f t="shared" si="51"/>
        <v>Landline</v>
      </c>
      <c r="AE486" t="str">
        <f t="shared" si="52"/>
        <v>Valid</v>
      </c>
    </row>
    <row r="487" spans="1:31" x14ac:dyDescent="0.3">
      <c r="A487" s="2" t="s">
        <v>2206</v>
      </c>
      <c r="B487" s="2" t="s">
        <v>2207</v>
      </c>
      <c r="C487" s="2" t="s">
        <v>2208</v>
      </c>
      <c r="D487" s="2" t="s">
        <v>1479</v>
      </c>
      <c r="E487" s="2" t="s">
        <v>2209</v>
      </c>
      <c r="F487" s="2" t="s">
        <v>2209</v>
      </c>
      <c r="G487" s="5" t="str" cm="1">
        <f t="array" ref="G487">IFERROR(INDEX(City_Lookup!$B$2:$B$297,MATCH(TRUE,ISNUMBER(SEARCH(City_Lookup!$A$2:$A$297,$F487&amp;" "&amp;$E487)),0)),"Not Available")</f>
        <v>Kaski</v>
      </c>
      <c r="H487" s="5" t="str">
        <f>IFERROR(INDEX(City_Lookup!$E$2:$E$66,MATCH($G487,City_Lookup!$D$2:$D$66,0)),"Not Available")</f>
        <v>Gandaki</v>
      </c>
      <c r="I487" s="2" t="s">
        <v>1259</v>
      </c>
      <c r="J487" s="5" t="s">
        <v>29</v>
      </c>
      <c r="K487" s="5">
        <v>30</v>
      </c>
      <c r="L487" s="2"/>
      <c r="M487" s="5">
        <f t="shared" si="53"/>
        <v>30</v>
      </c>
      <c r="N487" s="2" t="s">
        <v>2493</v>
      </c>
      <c r="O487" s="2">
        <v>1</v>
      </c>
      <c r="P487" s="2" t="s">
        <v>27</v>
      </c>
      <c r="Q487" s="2" t="s">
        <v>2210</v>
      </c>
      <c r="R487" s="2" t="s">
        <v>33</v>
      </c>
      <c r="S487" s="2" t="s">
        <v>27</v>
      </c>
      <c r="T487" s="2" t="s">
        <v>34</v>
      </c>
      <c r="U487" s="2" t="s">
        <v>35</v>
      </c>
      <c r="V487" s="2" t="s">
        <v>36</v>
      </c>
      <c r="W487" s="2" t="s">
        <v>37</v>
      </c>
      <c r="X487" s="6" t="s">
        <v>2486</v>
      </c>
      <c r="Y487" s="6" t="s">
        <v>2499</v>
      </c>
      <c r="Z487" t="str">
        <f t="shared" si="47"/>
        <v>97714153051</v>
      </c>
      <c r="AA487" t="str">
        <f t="shared" si="48"/>
        <v>14153051</v>
      </c>
      <c r="AB487" t="str">
        <f t="shared" si="49"/>
        <v>14153051</v>
      </c>
      <c r="AC487" t="str">
        <f t="shared" si="50"/>
        <v>+97714153051</v>
      </c>
      <c r="AD487" t="str">
        <f t="shared" si="51"/>
        <v>Landline</v>
      </c>
      <c r="AE487" t="str">
        <f t="shared" si="52"/>
        <v>Valid</v>
      </c>
    </row>
    <row r="488" spans="1:31" x14ac:dyDescent="0.3">
      <c r="A488" s="2" t="s">
        <v>2211</v>
      </c>
      <c r="B488" s="2" t="s">
        <v>2212</v>
      </c>
      <c r="C488" s="2" t="s">
        <v>2213</v>
      </c>
      <c r="D488" s="2" t="s">
        <v>1473</v>
      </c>
      <c r="E488" s="2" t="s">
        <v>2214</v>
      </c>
      <c r="F488" s="2" t="s">
        <v>2214</v>
      </c>
      <c r="G488" s="5" t="str" cm="1">
        <f t="array" ref="G488">IFERROR(INDEX(City_Lookup!$B$2:$B$297,MATCH(TRUE,ISNUMBER(SEARCH(City_Lookup!$A$2:$A$297,$F488&amp;" "&amp;$E488)),0)),"Not Available")</f>
        <v>Kaski</v>
      </c>
      <c r="H488" s="5" t="str">
        <f>IFERROR(INDEX(City_Lookup!$E$2:$E$66,MATCH($G488,City_Lookup!$D$2:$D$66,0)),"Not Available")</f>
        <v>Gandaki</v>
      </c>
      <c r="I488" s="2" t="s">
        <v>1259</v>
      </c>
      <c r="J488" s="5" t="s">
        <v>29</v>
      </c>
      <c r="K488" s="5">
        <v>30</v>
      </c>
      <c r="L488" s="2"/>
      <c r="M488" s="5">
        <f t="shared" si="53"/>
        <v>30</v>
      </c>
      <c r="N488" s="2" t="s">
        <v>2493</v>
      </c>
      <c r="O488" s="2">
        <v>1</v>
      </c>
      <c r="P488" s="2" t="s">
        <v>27</v>
      </c>
      <c r="Q488" s="2" t="s">
        <v>2215</v>
      </c>
      <c r="R488" s="2" t="s">
        <v>33</v>
      </c>
      <c r="S488" s="2" t="s">
        <v>27</v>
      </c>
      <c r="T488" s="2" t="s">
        <v>34</v>
      </c>
      <c r="U488" s="2" t="s">
        <v>35</v>
      </c>
      <c r="V488" s="2" t="s">
        <v>36</v>
      </c>
      <c r="W488" s="2" t="s">
        <v>37</v>
      </c>
      <c r="X488" s="6" t="s">
        <v>2486</v>
      </c>
      <c r="Y488" s="6" t="s">
        <v>2499</v>
      </c>
      <c r="Z488" t="str">
        <f t="shared" si="47"/>
        <v>97714153051</v>
      </c>
      <c r="AA488" t="str">
        <f t="shared" si="48"/>
        <v>14153051</v>
      </c>
      <c r="AB488" t="str">
        <f t="shared" si="49"/>
        <v>14153051</v>
      </c>
      <c r="AC488" t="str">
        <f t="shared" si="50"/>
        <v>+97714153051</v>
      </c>
      <c r="AD488" t="str">
        <f t="shared" si="51"/>
        <v>Landline</v>
      </c>
      <c r="AE488" t="str">
        <f t="shared" si="52"/>
        <v>Valid</v>
      </c>
    </row>
    <row r="489" spans="1:31" x14ac:dyDescent="0.3">
      <c r="A489" s="2" t="s">
        <v>2216</v>
      </c>
      <c r="B489" s="2" t="s">
        <v>2217</v>
      </c>
      <c r="C489" s="2" t="s">
        <v>2218</v>
      </c>
      <c r="D489" s="2" t="s">
        <v>1479</v>
      </c>
      <c r="E489" s="2" t="s">
        <v>2214</v>
      </c>
      <c r="F489" s="2" t="s">
        <v>2214</v>
      </c>
      <c r="G489" s="5" t="str" cm="1">
        <f t="array" ref="G489">IFERROR(INDEX(City_Lookup!$B$2:$B$297,MATCH(TRUE,ISNUMBER(SEARCH(City_Lookup!$A$2:$A$297,$F489&amp;" "&amp;$E489)),0)),"Not Available")</f>
        <v>Kaski</v>
      </c>
      <c r="H489" s="5" t="str">
        <f>IFERROR(INDEX(City_Lookup!$E$2:$E$66,MATCH($G489,City_Lookup!$D$2:$D$66,0)),"Not Available")</f>
        <v>Gandaki</v>
      </c>
      <c r="I489" s="2" t="s">
        <v>1259</v>
      </c>
      <c r="J489" s="5" t="s">
        <v>29</v>
      </c>
      <c r="K489" s="5">
        <v>30</v>
      </c>
      <c r="L489" s="2"/>
      <c r="M489" s="5">
        <f t="shared" si="53"/>
        <v>30</v>
      </c>
      <c r="N489" s="2" t="s">
        <v>2493</v>
      </c>
      <c r="O489" s="2">
        <v>1</v>
      </c>
      <c r="P489" s="2" t="s">
        <v>27</v>
      </c>
      <c r="Q489" s="2" t="s">
        <v>2219</v>
      </c>
      <c r="R489" s="2" t="s">
        <v>33</v>
      </c>
      <c r="S489" s="2" t="s">
        <v>27</v>
      </c>
      <c r="T489" s="2" t="s">
        <v>34</v>
      </c>
      <c r="U489" s="2" t="s">
        <v>35</v>
      </c>
      <c r="V489" s="2" t="s">
        <v>36</v>
      </c>
      <c r="W489" s="2" t="s">
        <v>37</v>
      </c>
      <c r="X489" s="6" t="s">
        <v>2486</v>
      </c>
      <c r="Y489" s="6" t="s">
        <v>2499</v>
      </c>
      <c r="Z489" t="str">
        <f t="shared" si="47"/>
        <v>97714153051</v>
      </c>
      <c r="AA489" t="str">
        <f t="shared" si="48"/>
        <v>14153051</v>
      </c>
      <c r="AB489" t="str">
        <f t="shared" si="49"/>
        <v>14153051</v>
      </c>
      <c r="AC489" t="str">
        <f t="shared" si="50"/>
        <v>+97714153051</v>
      </c>
      <c r="AD489" t="str">
        <f t="shared" si="51"/>
        <v>Landline</v>
      </c>
      <c r="AE489" t="str">
        <f t="shared" si="52"/>
        <v>Valid</v>
      </c>
    </row>
    <row r="490" spans="1:31" x14ac:dyDescent="0.3">
      <c r="A490" s="2" t="s">
        <v>2220</v>
      </c>
      <c r="B490" s="2" t="s">
        <v>2221</v>
      </c>
      <c r="C490" s="2" t="s">
        <v>2222</v>
      </c>
      <c r="D490" s="2" t="s">
        <v>1479</v>
      </c>
      <c r="E490" s="2" t="s">
        <v>2223</v>
      </c>
      <c r="F490" s="2" t="s">
        <v>2223</v>
      </c>
      <c r="G490" s="5" t="str" cm="1">
        <f t="array" ref="G490">IFERROR(INDEX(City_Lookup!$B$2:$B$297,MATCH(TRUE,ISNUMBER(SEARCH(City_Lookup!$A$2:$A$297,$F490&amp;" "&amp;$E490)),0)),"Not Available")</f>
        <v>Kaski</v>
      </c>
      <c r="H490" s="5" t="str">
        <f>IFERROR(INDEX(City_Lookup!$E$2:$E$66,MATCH($G490,City_Lookup!$D$2:$D$66,0)),"Not Available")</f>
        <v>Gandaki</v>
      </c>
      <c r="I490" s="2" t="s">
        <v>1259</v>
      </c>
      <c r="J490" s="5" t="s">
        <v>29</v>
      </c>
      <c r="K490" s="5">
        <v>30</v>
      </c>
      <c r="L490" s="2"/>
      <c r="M490" s="5">
        <f t="shared" si="53"/>
        <v>30</v>
      </c>
      <c r="N490" s="2" t="s">
        <v>2493</v>
      </c>
      <c r="O490" s="2">
        <v>1</v>
      </c>
      <c r="P490" s="2" t="s">
        <v>27</v>
      </c>
      <c r="Q490" s="2" t="s">
        <v>2224</v>
      </c>
      <c r="R490" s="2" t="s">
        <v>33</v>
      </c>
      <c r="S490" s="2" t="s">
        <v>27</v>
      </c>
      <c r="T490" s="2" t="s">
        <v>34</v>
      </c>
      <c r="U490" s="2" t="s">
        <v>35</v>
      </c>
      <c r="V490" s="2" t="s">
        <v>36</v>
      </c>
      <c r="W490" s="2" t="s">
        <v>37</v>
      </c>
      <c r="X490" s="6" t="s">
        <v>2486</v>
      </c>
      <c r="Y490" s="6" t="s">
        <v>2499</v>
      </c>
      <c r="Z490" t="str">
        <f t="shared" si="47"/>
        <v>97714153051</v>
      </c>
      <c r="AA490" t="str">
        <f t="shared" si="48"/>
        <v>14153051</v>
      </c>
      <c r="AB490" t="str">
        <f t="shared" si="49"/>
        <v>14153051</v>
      </c>
      <c r="AC490" t="str">
        <f t="shared" si="50"/>
        <v>+97714153051</v>
      </c>
      <c r="AD490" t="str">
        <f t="shared" si="51"/>
        <v>Landline</v>
      </c>
      <c r="AE490" t="str">
        <f t="shared" si="52"/>
        <v>Valid</v>
      </c>
    </row>
    <row r="491" spans="1:31" x14ac:dyDescent="0.3">
      <c r="A491" s="2" t="s">
        <v>2225</v>
      </c>
      <c r="B491" s="2" t="s">
        <v>2226</v>
      </c>
      <c r="C491" s="2" t="s">
        <v>2227</v>
      </c>
      <c r="D491" s="2" t="s">
        <v>1473</v>
      </c>
      <c r="E491" s="2" t="s">
        <v>2228</v>
      </c>
      <c r="F491" s="2" t="s">
        <v>2228</v>
      </c>
      <c r="G491" s="5" t="str" cm="1">
        <f t="array" ref="G491">IFERROR(INDEX(City_Lookup!$B$2:$B$297,MATCH(TRUE,ISNUMBER(SEARCH(City_Lookup!$A$2:$A$297,$F491&amp;" "&amp;$E491)),0)),"Not Available")</f>
        <v>Kaski</v>
      </c>
      <c r="H491" s="5" t="str">
        <f>IFERROR(INDEX(City_Lookup!$E$2:$E$66,MATCH($G491,City_Lookup!$D$2:$D$66,0)),"Not Available")</f>
        <v>Gandaki</v>
      </c>
      <c r="I491" s="2" t="s">
        <v>1259</v>
      </c>
      <c r="J491" s="5" t="s">
        <v>29</v>
      </c>
      <c r="K491" s="5">
        <v>30</v>
      </c>
      <c r="L491" s="2"/>
      <c r="M491" s="5">
        <f t="shared" si="53"/>
        <v>30</v>
      </c>
      <c r="N491" s="2" t="s">
        <v>2493</v>
      </c>
      <c r="O491" s="2">
        <v>1</v>
      </c>
      <c r="P491" s="2" t="s">
        <v>27</v>
      </c>
      <c r="Q491" s="2" t="s">
        <v>2229</v>
      </c>
      <c r="R491" s="2" t="s">
        <v>33</v>
      </c>
      <c r="S491" s="2" t="s">
        <v>27</v>
      </c>
      <c r="T491" s="2" t="s">
        <v>34</v>
      </c>
      <c r="U491" s="2" t="s">
        <v>35</v>
      </c>
      <c r="V491" s="2" t="s">
        <v>36</v>
      </c>
      <c r="W491" s="2" t="s">
        <v>37</v>
      </c>
      <c r="X491" s="6" t="s">
        <v>2486</v>
      </c>
      <c r="Y491" s="6" t="s">
        <v>2499</v>
      </c>
      <c r="Z491" t="str">
        <f t="shared" si="47"/>
        <v>97714153051</v>
      </c>
      <c r="AA491" t="str">
        <f t="shared" si="48"/>
        <v>14153051</v>
      </c>
      <c r="AB491" t="str">
        <f t="shared" si="49"/>
        <v>14153051</v>
      </c>
      <c r="AC491" t="str">
        <f t="shared" si="50"/>
        <v>+97714153051</v>
      </c>
      <c r="AD491" t="str">
        <f t="shared" si="51"/>
        <v>Landline</v>
      </c>
      <c r="AE491" t="str">
        <f t="shared" si="52"/>
        <v>Valid</v>
      </c>
    </row>
    <row r="492" spans="1:31" x14ac:dyDescent="0.3">
      <c r="A492" s="2" t="s">
        <v>2230</v>
      </c>
      <c r="B492" s="2" t="s">
        <v>2231</v>
      </c>
      <c r="C492" s="2" t="s">
        <v>2232</v>
      </c>
      <c r="D492" s="2" t="s">
        <v>1479</v>
      </c>
      <c r="E492" s="2" t="s">
        <v>2233</v>
      </c>
      <c r="F492" s="2" t="s">
        <v>2233</v>
      </c>
      <c r="G492" s="5" t="str" cm="1">
        <f t="array" ref="G492">IFERROR(INDEX(City_Lookup!$B$2:$B$297,MATCH(TRUE,ISNUMBER(SEARCH(City_Lookup!$A$2:$A$297,$F492&amp;" "&amp;$E492)),0)),"Not Available")</f>
        <v>Kaski</v>
      </c>
      <c r="H492" s="5" t="str">
        <f>IFERROR(INDEX(City_Lookup!$E$2:$E$66,MATCH($G492,City_Lookup!$D$2:$D$66,0)),"Not Available")</f>
        <v>Gandaki</v>
      </c>
      <c r="I492" s="2" t="s">
        <v>1259</v>
      </c>
      <c r="J492" s="5" t="s">
        <v>29</v>
      </c>
      <c r="K492" s="5">
        <v>30</v>
      </c>
      <c r="L492" s="2"/>
      <c r="M492" s="5">
        <f t="shared" si="53"/>
        <v>30</v>
      </c>
      <c r="N492" s="2" t="s">
        <v>2493</v>
      </c>
      <c r="O492" s="2">
        <v>1</v>
      </c>
      <c r="P492" s="2" t="s">
        <v>27</v>
      </c>
      <c r="Q492" s="2" t="s">
        <v>2234</v>
      </c>
      <c r="R492" s="2" t="s">
        <v>33</v>
      </c>
      <c r="S492" s="2" t="s">
        <v>27</v>
      </c>
      <c r="T492" s="2" t="s">
        <v>34</v>
      </c>
      <c r="U492" s="2" t="s">
        <v>35</v>
      </c>
      <c r="V492" s="2" t="s">
        <v>36</v>
      </c>
      <c r="W492" s="2" t="s">
        <v>37</v>
      </c>
      <c r="X492" s="6" t="s">
        <v>2486</v>
      </c>
      <c r="Y492" s="6" t="s">
        <v>2499</v>
      </c>
      <c r="Z492" t="str">
        <f t="shared" si="47"/>
        <v>97714153051</v>
      </c>
      <c r="AA492" t="str">
        <f t="shared" si="48"/>
        <v>14153051</v>
      </c>
      <c r="AB492" t="str">
        <f t="shared" si="49"/>
        <v>14153051</v>
      </c>
      <c r="AC492" t="str">
        <f t="shared" si="50"/>
        <v>+97714153051</v>
      </c>
      <c r="AD492" t="str">
        <f t="shared" si="51"/>
        <v>Landline</v>
      </c>
      <c r="AE492" t="str">
        <f t="shared" si="52"/>
        <v>Valid</v>
      </c>
    </row>
    <row r="493" spans="1:31" x14ac:dyDescent="0.3">
      <c r="A493" s="2" t="s">
        <v>2235</v>
      </c>
      <c r="B493" s="2" t="s">
        <v>2236</v>
      </c>
      <c r="C493" s="2" t="s">
        <v>2237</v>
      </c>
      <c r="D493" s="2" t="s">
        <v>1479</v>
      </c>
      <c r="E493" s="2" t="s">
        <v>2238</v>
      </c>
      <c r="F493" s="2" t="s">
        <v>2238</v>
      </c>
      <c r="G493" s="5" t="str" cm="1">
        <f t="array" ref="G493">IFERROR(INDEX(City_Lookup!$B$2:$B$297,MATCH(TRUE,ISNUMBER(SEARCH(City_Lookup!$A$2:$A$297,$F493&amp;" "&amp;$E493)),0)),"Not Available")</f>
        <v>Kaski</v>
      </c>
      <c r="H493" s="5" t="str">
        <f>IFERROR(INDEX(City_Lookup!$E$2:$E$66,MATCH($G493,City_Lookup!$D$2:$D$66,0)),"Not Available")</f>
        <v>Gandaki</v>
      </c>
      <c r="I493" s="2" t="s">
        <v>1259</v>
      </c>
      <c r="J493" s="5" t="s">
        <v>29</v>
      </c>
      <c r="K493" s="5">
        <v>30</v>
      </c>
      <c r="L493" s="2"/>
      <c r="M493" s="5">
        <f t="shared" si="53"/>
        <v>30</v>
      </c>
      <c r="N493" s="2" t="s">
        <v>2493</v>
      </c>
      <c r="O493" s="2">
        <v>1</v>
      </c>
      <c r="P493" s="2" t="s">
        <v>27</v>
      </c>
      <c r="Q493" s="2" t="s">
        <v>2239</v>
      </c>
      <c r="R493" s="2" t="s">
        <v>33</v>
      </c>
      <c r="S493" s="2" t="s">
        <v>27</v>
      </c>
      <c r="T493" s="2" t="s">
        <v>34</v>
      </c>
      <c r="U493" s="2" t="s">
        <v>35</v>
      </c>
      <c r="V493" s="2" t="s">
        <v>36</v>
      </c>
      <c r="W493" s="2" t="s">
        <v>37</v>
      </c>
      <c r="X493" s="6" t="s">
        <v>2486</v>
      </c>
      <c r="Y493" s="6" t="s">
        <v>2499</v>
      </c>
      <c r="Z493" t="str">
        <f t="shared" si="47"/>
        <v>97714153051</v>
      </c>
      <c r="AA493" t="str">
        <f t="shared" si="48"/>
        <v>14153051</v>
      </c>
      <c r="AB493" t="str">
        <f t="shared" si="49"/>
        <v>14153051</v>
      </c>
      <c r="AC493" t="str">
        <f t="shared" si="50"/>
        <v>+97714153051</v>
      </c>
      <c r="AD493" t="str">
        <f t="shared" si="51"/>
        <v>Landline</v>
      </c>
      <c r="AE493" t="str">
        <f t="shared" si="52"/>
        <v>Valid</v>
      </c>
    </row>
    <row r="494" spans="1:31" x14ac:dyDescent="0.3">
      <c r="A494" s="2" t="s">
        <v>2240</v>
      </c>
      <c r="B494" s="2" t="s">
        <v>2241</v>
      </c>
      <c r="C494" s="2" t="s">
        <v>2242</v>
      </c>
      <c r="D494" s="2" t="s">
        <v>1479</v>
      </c>
      <c r="E494" s="2" t="s">
        <v>2243</v>
      </c>
      <c r="F494" s="2" t="s">
        <v>2243</v>
      </c>
      <c r="G494" s="5" t="str" cm="1">
        <f t="array" ref="G494">IFERROR(INDEX(City_Lookup!$B$2:$B$297,MATCH(TRUE,ISNUMBER(SEARCH(City_Lookup!$A$2:$A$297,$F494&amp;" "&amp;$E494)),0)),"Not Available")</f>
        <v>Kaski</v>
      </c>
      <c r="H494" s="5" t="str">
        <f>IFERROR(INDEX(City_Lookup!$E$2:$E$66,MATCH($G494,City_Lookup!$D$2:$D$66,0)),"Not Available")</f>
        <v>Gandaki</v>
      </c>
      <c r="I494" s="2" t="s">
        <v>1259</v>
      </c>
      <c r="J494" s="5" t="s">
        <v>29</v>
      </c>
      <c r="K494" s="5">
        <v>30</v>
      </c>
      <c r="L494" s="2"/>
      <c r="M494" s="5">
        <f t="shared" si="53"/>
        <v>30</v>
      </c>
      <c r="N494" s="2" t="s">
        <v>2493</v>
      </c>
      <c r="O494" s="2">
        <v>1</v>
      </c>
      <c r="P494" s="2" t="s">
        <v>27</v>
      </c>
      <c r="Q494" s="2" t="s">
        <v>2244</v>
      </c>
      <c r="R494" s="2" t="s">
        <v>33</v>
      </c>
      <c r="S494" s="2" t="s">
        <v>27</v>
      </c>
      <c r="T494" s="2" t="s">
        <v>34</v>
      </c>
      <c r="U494" s="2" t="s">
        <v>35</v>
      </c>
      <c r="V494" s="2" t="s">
        <v>36</v>
      </c>
      <c r="W494" s="2" t="s">
        <v>37</v>
      </c>
      <c r="X494" s="6" t="s">
        <v>2486</v>
      </c>
      <c r="Y494" s="6" t="s">
        <v>2499</v>
      </c>
      <c r="Z494" t="str">
        <f t="shared" si="47"/>
        <v>97714153051</v>
      </c>
      <c r="AA494" t="str">
        <f t="shared" si="48"/>
        <v>14153051</v>
      </c>
      <c r="AB494" t="str">
        <f t="shared" si="49"/>
        <v>14153051</v>
      </c>
      <c r="AC494" t="str">
        <f t="shared" si="50"/>
        <v>+97714153051</v>
      </c>
      <c r="AD494" t="str">
        <f t="shared" si="51"/>
        <v>Landline</v>
      </c>
      <c r="AE494" t="str">
        <f t="shared" si="52"/>
        <v>Valid</v>
      </c>
    </row>
    <row r="495" spans="1:31" x14ac:dyDescent="0.3">
      <c r="A495" s="2" t="s">
        <v>2245</v>
      </c>
      <c r="B495" s="2" t="s">
        <v>2246</v>
      </c>
      <c r="C495" s="2" t="s">
        <v>2247</v>
      </c>
      <c r="D495" s="2" t="s">
        <v>1479</v>
      </c>
      <c r="E495" s="2" t="s">
        <v>2248</v>
      </c>
      <c r="F495" s="2" t="s">
        <v>2248</v>
      </c>
      <c r="G495" s="5" t="str" cm="1">
        <f t="array" ref="G495">IFERROR(INDEX(City_Lookup!$B$2:$B$297,MATCH(TRUE,ISNUMBER(SEARCH(City_Lookup!$A$2:$A$297,$F495&amp;" "&amp;$E495)),0)),"Not Available")</f>
        <v>Kaski</v>
      </c>
      <c r="H495" s="5" t="str">
        <f>IFERROR(INDEX(City_Lookup!$E$2:$E$66,MATCH($G495,City_Lookup!$D$2:$D$66,0)),"Not Available")</f>
        <v>Gandaki</v>
      </c>
      <c r="I495" s="2" t="s">
        <v>1259</v>
      </c>
      <c r="J495" s="5" t="s">
        <v>29</v>
      </c>
      <c r="K495" s="5">
        <v>30</v>
      </c>
      <c r="L495" s="2"/>
      <c r="M495" s="5">
        <f t="shared" si="53"/>
        <v>30</v>
      </c>
      <c r="N495" s="2" t="s">
        <v>2493</v>
      </c>
      <c r="O495" s="2">
        <v>1</v>
      </c>
      <c r="P495" s="2" t="s">
        <v>27</v>
      </c>
      <c r="Q495" s="2" t="s">
        <v>2249</v>
      </c>
      <c r="R495" s="2" t="s">
        <v>33</v>
      </c>
      <c r="S495" s="2" t="s">
        <v>27</v>
      </c>
      <c r="T495" s="2" t="s">
        <v>34</v>
      </c>
      <c r="U495" s="2" t="s">
        <v>35</v>
      </c>
      <c r="V495" s="2" t="s">
        <v>36</v>
      </c>
      <c r="W495" s="2" t="s">
        <v>37</v>
      </c>
      <c r="X495" s="6" t="s">
        <v>2486</v>
      </c>
      <c r="Y495" s="6" t="s">
        <v>2499</v>
      </c>
      <c r="Z495" t="str">
        <f t="shared" si="47"/>
        <v>97714153051</v>
      </c>
      <c r="AA495" t="str">
        <f t="shared" si="48"/>
        <v>14153051</v>
      </c>
      <c r="AB495" t="str">
        <f t="shared" si="49"/>
        <v>14153051</v>
      </c>
      <c r="AC495" t="str">
        <f t="shared" si="50"/>
        <v>+97714153051</v>
      </c>
      <c r="AD495" t="str">
        <f t="shared" si="51"/>
        <v>Landline</v>
      </c>
      <c r="AE495" t="str">
        <f t="shared" si="52"/>
        <v>Valid</v>
      </c>
    </row>
    <row r="496" spans="1:31" x14ac:dyDescent="0.3">
      <c r="A496" s="2" t="s">
        <v>2250</v>
      </c>
      <c r="B496" s="2" t="s">
        <v>2251</v>
      </c>
      <c r="C496" s="2" t="s">
        <v>2252</v>
      </c>
      <c r="D496" s="2" t="s">
        <v>1473</v>
      </c>
      <c r="E496" s="2" t="s">
        <v>2253</v>
      </c>
      <c r="F496" s="2" t="s">
        <v>2253</v>
      </c>
      <c r="G496" s="5" t="str" cm="1">
        <f t="array" ref="G496">IFERROR(INDEX(City_Lookup!$B$2:$B$297,MATCH(TRUE,ISNUMBER(SEARCH(City_Lookup!$A$2:$A$297,$F496&amp;" "&amp;$E496)),0)),"Not Available")</f>
        <v>Kaski</v>
      </c>
      <c r="H496" s="5" t="str">
        <f>IFERROR(INDEX(City_Lookup!$E$2:$E$66,MATCH($G496,City_Lookup!$D$2:$D$66,0)),"Not Available")</f>
        <v>Gandaki</v>
      </c>
      <c r="I496" s="2" t="s">
        <v>1259</v>
      </c>
      <c r="J496" s="5" t="s">
        <v>29</v>
      </c>
      <c r="K496" s="5">
        <v>30</v>
      </c>
      <c r="L496" s="2"/>
      <c r="M496" s="5">
        <f t="shared" si="53"/>
        <v>30</v>
      </c>
      <c r="N496" s="2" t="s">
        <v>2495</v>
      </c>
      <c r="O496" s="2">
        <v>1</v>
      </c>
      <c r="P496" s="2" t="s">
        <v>27</v>
      </c>
      <c r="Q496" s="2" t="s">
        <v>2254</v>
      </c>
      <c r="R496" s="2" t="s">
        <v>33</v>
      </c>
      <c r="S496" s="2" t="s">
        <v>27</v>
      </c>
      <c r="T496" s="2" t="s">
        <v>34</v>
      </c>
      <c r="U496" s="2" t="s">
        <v>35</v>
      </c>
      <c r="V496" s="2" t="s">
        <v>36</v>
      </c>
      <c r="W496" s="2" t="s">
        <v>37</v>
      </c>
      <c r="X496" s="6" t="s">
        <v>2486</v>
      </c>
      <c r="Y496" s="6" t="s">
        <v>2499</v>
      </c>
      <c r="Z496" t="str">
        <f t="shared" si="47"/>
        <v>97714153051</v>
      </c>
      <c r="AA496" t="str">
        <f t="shared" si="48"/>
        <v>14153051</v>
      </c>
      <c r="AB496" t="str">
        <f t="shared" si="49"/>
        <v>14153051</v>
      </c>
      <c r="AC496" t="str">
        <f t="shared" si="50"/>
        <v>+97714153051</v>
      </c>
      <c r="AD496" t="str">
        <f t="shared" si="51"/>
        <v>Landline</v>
      </c>
      <c r="AE496" t="str">
        <f t="shared" si="52"/>
        <v>Valid</v>
      </c>
    </row>
    <row r="497" spans="1:31" x14ac:dyDescent="0.3">
      <c r="A497" s="2" t="s">
        <v>2255</v>
      </c>
      <c r="B497" s="2" t="s">
        <v>2256</v>
      </c>
      <c r="C497" s="2" t="s">
        <v>2257</v>
      </c>
      <c r="D497" s="2" t="s">
        <v>1479</v>
      </c>
      <c r="E497" s="2" t="s">
        <v>2258</v>
      </c>
      <c r="F497" s="2" t="s">
        <v>2258</v>
      </c>
      <c r="G497" s="5" t="str" cm="1">
        <f t="array" ref="G497">IFERROR(INDEX(City_Lookup!$B$2:$B$297,MATCH(TRUE,ISNUMBER(SEARCH(City_Lookup!$A$2:$A$297,$F497&amp;" "&amp;$E497)),0)),"Not Available")</f>
        <v>Kathmandu</v>
      </c>
      <c r="H497" s="5" t="str">
        <f>IFERROR(INDEX(City_Lookup!$E$2:$E$66,MATCH($G497,City_Lookup!$D$2:$D$66,0)),"Not Available")</f>
        <v>Bagmati</v>
      </c>
      <c r="I497" s="2" t="s">
        <v>1259</v>
      </c>
      <c r="J497" s="5" t="s">
        <v>29</v>
      </c>
      <c r="K497" s="5">
        <v>30</v>
      </c>
      <c r="L497" s="2"/>
      <c r="M497" s="5">
        <f t="shared" si="53"/>
        <v>30</v>
      </c>
      <c r="N497" s="2" t="s">
        <v>2493</v>
      </c>
      <c r="O497" s="2">
        <v>1</v>
      </c>
      <c r="P497" s="2" t="s">
        <v>27</v>
      </c>
      <c r="Q497" s="2" t="s">
        <v>2259</v>
      </c>
      <c r="R497" s="2" t="s">
        <v>33</v>
      </c>
      <c r="S497" s="2" t="s">
        <v>27</v>
      </c>
      <c r="T497" s="2" t="s">
        <v>34</v>
      </c>
      <c r="U497" s="2" t="s">
        <v>35</v>
      </c>
      <c r="V497" s="2" t="s">
        <v>36</v>
      </c>
      <c r="W497" s="2" t="s">
        <v>37</v>
      </c>
      <c r="X497" s="6" t="s">
        <v>2486</v>
      </c>
      <c r="Y497" s="6" t="s">
        <v>2499</v>
      </c>
      <c r="Z497" t="str">
        <f t="shared" si="47"/>
        <v>97714153051</v>
      </c>
      <c r="AA497" t="str">
        <f t="shared" si="48"/>
        <v>14153051</v>
      </c>
      <c r="AB497" t="str">
        <f t="shared" si="49"/>
        <v>14153051</v>
      </c>
      <c r="AC497" t="str">
        <f t="shared" si="50"/>
        <v>+97714153051</v>
      </c>
      <c r="AD497" t="str">
        <f t="shared" si="51"/>
        <v>Landline</v>
      </c>
      <c r="AE497" t="str">
        <f t="shared" si="52"/>
        <v>Valid</v>
      </c>
    </row>
    <row r="498" spans="1:31" x14ac:dyDescent="0.3">
      <c r="A498" s="2" t="s">
        <v>2260</v>
      </c>
      <c r="B498" s="2" t="s">
        <v>2261</v>
      </c>
      <c r="C498" s="2" t="s">
        <v>2262</v>
      </c>
      <c r="D498" s="2" t="s">
        <v>1479</v>
      </c>
      <c r="E498" s="2" t="s">
        <v>2263</v>
      </c>
      <c r="F498" s="2" t="s">
        <v>2263</v>
      </c>
      <c r="G498" s="5" t="str" cm="1">
        <f t="array" ref="G498">IFERROR(INDEX(City_Lookup!$B$2:$B$297,MATCH(TRUE,ISNUMBER(SEARCH(City_Lookup!$A$2:$A$297,$F498&amp;" "&amp;$E498)),0)),"Not Available")</f>
        <v>Kaski</v>
      </c>
      <c r="H498" s="5" t="str">
        <f>IFERROR(INDEX(City_Lookup!$E$2:$E$66,MATCH($G498,City_Lookup!$D$2:$D$66,0)),"Not Available")</f>
        <v>Gandaki</v>
      </c>
      <c r="I498" s="2" t="s">
        <v>1259</v>
      </c>
      <c r="J498" s="5" t="s">
        <v>29</v>
      </c>
      <c r="K498" s="5">
        <v>30</v>
      </c>
      <c r="L498" s="2"/>
      <c r="M498" s="5">
        <f t="shared" si="53"/>
        <v>30</v>
      </c>
      <c r="N498" s="2" t="s">
        <v>2493</v>
      </c>
      <c r="O498" s="2">
        <v>1</v>
      </c>
      <c r="P498" s="2" t="s">
        <v>27</v>
      </c>
      <c r="Q498" s="2" t="s">
        <v>2264</v>
      </c>
      <c r="R498" s="2" t="s">
        <v>33</v>
      </c>
      <c r="S498" s="2" t="s">
        <v>27</v>
      </c>
      <c r="T498" s="2" t="s">
        <v>34</v>
      </c>
      <c r="U498" s="2" t="s">
        <v>35</v>
      </c>
      <c r="V498" s="2" t="s">
        <v>36</v>
      </c>
      <c r="W498" s="2" t="s">
        <v>37</v>
      </c>
      <c r="X498" s="6" t="s">
        <v>2486</v>
      </c>
      <c r="Y498" s="6" t="s">
        <v>2499</v>
      </c>
      <c r="Z498" t="str">
        <f t="shared" si="47"/>
        <v>97714153051</v>
      </c>
      <c r="AA498" t="str">
        <f t="shared" si="48"/>
        <v>14153051</v>
      </c>
      <c r="AB498" t="str">
        <f t="shared" si="49"/>
        <v>14153051</v>
      </c>
      <c r="AC498" t="str">
        <f t="shared" si="50"/>
        <v>+97714153051</v>
      </c>
      <c r="AD498" t="str">
        <f t="shared" si="51"/>
        <v>Landline</v>
      </c>
      <c r="AE498" t="str">
        <f t="shared" si="52"/>
        <v>Valid</v>
      </c>
    </row>
    <row r="499" spans="1:31" x14ac:dyDescent="0.3">
      <c r="A499" s="2" t="s">
        <v>2265</v>
      </c>
      <c r="B499" s="2" t="s">
        <v>2266</v>
      </c>
      <c r="C499" s="2" t="s">
        <v>2267</v>
      </c>
      <c r="D499" s="2" t="s">
        <v>1479</v>
      </c>
      <c r="E499" s="2" t="s">
        <v>2268</v>
      </c>
      <c r="F499" s="2" t="s">
        <v>2268</v>
      </c>
      <c r="G499" s="5" t="str" cm="1">
        <f t="array" ref="G499">IFERROR(INDEX(City_Lookup!$B$2:$B$297,MATCH(TRUE,ISNUMBER(SEARCH(City_Lookup!$A$2:$A$297,$F499&amp;" "&amp;$E499)),0)),"Not Available")</f>
        <v>Kaski</v>
      </c>
      <c r="H499" s="5" t="str">
        <f>IFERROR(INDEX(City_Lookup!$E$2:$E$66,MATCH($G499,City_Lookup!$D$2:$D$66,0)),"Not Available")</f>
        <v>Gandaki</v>
      </c>
      <c r="I499" s="2" t="s">
        <v>1259</v>
      </c>
      <c r="J499" s="5" t="s">
        <v>29</v>
      </c>
      <c r="K499" s="5">
        <v>30</v>
      </c>
      <c r="L499" s="2"/>
      <c r="M499" s="5">
        <f t="shared" si="53"/>
        <v>30</v>
      </c>
      <c r="N499" s="2" t="s">
        <v>2493</v>
      </c>
      <c r="O499" s="2">
        <v>1</v>
      </c>
      <c r="P499" s="2" t="s">
        <v>27</v>
      </c>
      <c r="Q499" s="2" t="s">
        <v>2269</v>
      </c>
      <c r="R499" s="2" t="s">
        <v>33</v>
      </c>
      <c r="S499" s="2" t="s">
        <v>27</v>
      </c>
      <c r="T499" s="2" t="s">
        <v>34</v>
      </c>
      <c r="U499" s="2" t="s">
        <v>35</v>
      </c>
      <c r="V499" s="2" t="s">
        <v>36</v>
      </c>
      <c r="W499" s="2" t="s">
        <v>37</v>
      </c>
      <c r="X499" s="6" t="s">
        <v>2486</v>
      </c>
      <c r="Y499" s="6" t="s">
        <v>2499</v>
      </c>
      <c r="Z499" t="str">
        <f t="shared" si="47"/>
        <v>97714153051</v>
      </c>
      <c r="AA499" t="str">
        <f t="shared" si="48"/>
        <v>14153051</v>
      </c>
      <c r="AB499" t="str">
        <f t="shared" si="49"/>
        <v>14153051</v>
      </c>
      <c r="AC499" t="str">
        <f t="shared" si="50"/>
        <v>+97714153051</v>
      </c>
      <c r="AD499" t="str">
        <f t="shared" si="51"/>
        <v>Landline</v>
      </c>
      <c r="AE499" t="str">
        <f t="shared" si="52"/>
        <v>Valid</v>
      </c>
    </row>
    <row r="500" spans="1:31" x14ac:dyDescent="0.3">
      <c r="A500" s="2" t="s">
        <v>2270</v>
      </c>
      <c r="B500" s="2" t="s">
        <v>2271</v>
      </c>
      <c r="C500" s="2" t="s">
        <v>2272</v>
      </c>
      <c r="D500" s="2" t="s">
        <v>1473</v>
      </c>
      <c r="E500" s="2" t="s">
        <v>2273</v>
      </c>
      <c r="F500" s="2" t="s">
        <v>2273</v>
      </c>
      <c r="G500" s="5" t="str" cm="1">
        <f t="array" ref="G500">IFERROR(INDEX(City_Lookup!$B$2:$B$297,MATCH(TRUE,ISNUMBER(SEARCH(City_Lookup!$A$2:$A$297,$F500&amp;" "&amp;$E500)),0)),"Not Available")</f>
        <v>Kaski</v>
      </c>
      <c r="H500" s="5" t="str">
        <f>IFERROR(INDEX(City_Lookup!$E$2:$E$66,MATCH($G500,City_Lookup!$D$2:$D$66,0)),"Not Available")</f>
        <v>Gandaki</v>
      </c>
      <c r="I500" s="2" t="s">
        <v>1259</v>
      </c>
      <c r="J500" s="5" t="s">
        <v>29</v>
      </c>
      <c r="K500" s="5">
        <v>30</v>
      </c>
      <c r="L500" s="2"/>
      <c r="M500" s="5">
        <f t="shared" si="53"/>
        <v>30</v>
      </c>
      <c r="N500" s="2" t="s">
        <v>2493</v>
      </c>
      <c r="O500" s="2">
        <v>1</v>
      </c>
      <c r="P500" s="2" t="s">
        <v>27</v>
      </c>
      <c r="Q500" s="2" t="s">
        <v>2274</v>
      </c>
      <c r="R500" s="2" t="s">
        <v>33</v>
      </c>
      <c r="S500" s="2" t="s">
        <v>27</v>
      </c>
      <c r="T500" s="2" t="s">
        <v>34</v>
      </c>
      <c r="U500" s="2" t="s">
        <v>35</v>
      </c>
      <c r="V500" s="2" t="s">
        <v>36</v>
      </c>
      <c r="W500" s="2" t="s">
        <v>37</v>
      </c>
      <c r="X500" s="6" t="s">
        <v>2486</v>
      </c>
      <c r="Y500" s="6" t="s">
        <v>2499</v>
      </c>
      <c r="Z500" t="str">
        <f t="shared" si="47"/>
        <v>97714153051</v>
      </c>
      <c r="AA500" t="str">
        <f t="shared" si="48"/>
        <v>14153051</v>
      </c>
      <c r="AB500" t="str">
        <f t="shared" si="49"/>
        <v>14153051</v>
      </c>
      <c r="AC500" t="str">
        <f t="shared" si="50"/>
        <v>+97714153051</v>
      </c>
      <c r="AD500" t="str">
        <f t="shared" si="51"/>
        <v>Landline</v>
      </c>
      <c r="AE500" t="str">
        <f t="shared" si="52"/>
        <v>Valid</v>
      </c>
    </row>
    <row r="501" spans="1:31" x14ac:dyDescent="0.3">
      <c r="A501" s="2" t="s">
        <v>2275</v>
      </c>
      <c r="B501" s="2" t="s">
        <v>2276</v>
      </c>
      <c r="C501" s="2" t="s">
        <v>2277</v>
      </c>
      <c r="D501" s="2" t="s">
        <v>1479</v>
      </c>
      <c r="E501" s="2" t="s">
        <v>2278</v>
      </c>
      <c r="F501" s="2" t="s">
        <v>2278</v>
      </c>
      <c r="G501" s="5" t="str" cm="1">
        <f t="array" ref="G501">IFERROR(INDEX(City_Lookup!$B$2:$B$297,MATCH(TRUE,ISNUMBER(SEARCH(City_Lookup!$A$2:$A$297,$F501&amp;" "&amp;$E501)),0)),"Not Available")</f>
        <v>Kaski</v>
      </c>
      <c r="H501" s="5" t="str">
        <f>IFERROR(INDEX(City_Lookup!$E$2:$E$66,MATCH($G501,City_Lookup!$D$2:$D$66,0)),"Not Available")</f>
        <v>Gandaki</v>
      </c>
      <c r="I501" s="2" t="s">
        <v>1259</v>
      </c>
      <c r="J501" s="5" t="s">
        <v>29</v>
      </c>
      <c r="K501" s="5">
        <v>30</v>
      </c>
      <c r="L501" s="2"/>
      <c r="M501" s="5">
        <f t="shared" si="53"/>
        <v>30</v>
      </c>
      <c r="N501" s="2" t="s">
        <v>2493</v>
      </c>
      <c r="O501" s="2">
        <v>1</v>
      </c>
      <c r="P501" s="2" t="s">
        <v>27</v>
      </c>
      <c r="Q501" s="2" t="s">
        <v>2279</v>
      </c>
      <c r="R501" s="2" t="s">
        <v>33</v>
      </c>
      <c r="S501" s="2" t="s">
        <v>27</v>
      </c>
      <c r="T501" s="2" t="s">
        <v>34</v>
      </c>
      <c r="U501" s="2" t="s">
        <v>35</v>
      </c>
      <c r="V501" s="2" t="s">
        <v>36</v>
      </c>
      <c r="W501" s="2" t="s">
        <v>37</v>
      </c>
      <c r="X501" s="6" t="s">
        <v>2486</v>
      </c>
      <c r="Y501" s="6" t="s">
        <v>2499</v>
      </c>
      <c r="Z501" t="str">
        <f t="shared" si="47"/>
        <v>97714153051</v>
      </c>
      <c r="AA501" t="str">
        <f t="shared" si="48"/>
        <v>14153051</v>
      </c>
      <c r="AB501" t="str">
        <f t="shared" si="49"/>
        <v>14153051</v>
      </c>
      <c r="AC501" t="str">
        <f t="shared" si="50"/>
        <v>+97714153051</v>
      </c>
      <c r="AD501" t="str">
        <f t="shared" si="51"/>
        <v>Landline</v>
      </c>
      <c r="AE501" t="str">
        <f t="shared" si="52"/>
        <v>Valid</v>
      </c>
    </row>
    <row r="502" spans="1:31" x14ac:dyDescent="0.3">
      <c r="A502" s="2" t="s">
        <v>2280</v>
      </c>
      <c r="B502" s="2" t="s">
        <v>2281</v>
      </c>
      <c r="C502" s="2" t="s">
        <v>2282</v>
      </c>
      <c r="D502" s="2" t="s">
        <v>1473</v>
      </c>
      <c r="E502" s="2" t="s">
        <v>2283</v>
      </c>
      <c r="F502" s="2" t="s">
        <v>2283</v>
      </c>
      <c r="G502" s="5" t="str" cm="1">
        <f t="array" ref="G502">IFERROR(INDEX(City_Lookup!$B$2:$B$297,MATCH(TRUE,ISNUMBER(SEARCH(City_Lookup!$A$2:$A$297,$F502&amp;" "&amp;$E502)),0)),"Not Available")</f>
        <v>Kaski</v>
      </c>
      <c r="H502" s="5" t="str">
        <f>IFERROR(INDEX(City_Lookup!$E$2:$E$66,MATCH($G502,City_Lookup!$D$2:$D$66,0)),"Not Available")</f>
        <v>Gandaki</v>
      </c>
      <c r="I502" s="2" t="s">
        <v>1259</v>
      </c>
      <c r="J502" s="5" t="s">
        <v>29</v>
      </c>
      <c r="K502" s="5">
        <v>30</v>
      </c>
      <c r="L502" s="2"/>
      <c r="M502" s="5">
        <f t="shared" si="53"/>
        <v>30</v>
      </c>
      <c r="N502" s="2" t="s">
        <v>2493</v>
      </c>
      <c r="O502" s="2">
        <v>2</v>
      </c>
      <c r="P502" s="2" t="s">
        <v>27</v>
      </c>
      <c r="Q502" s="2" t="s">
        <v>2284</v>
      </c>
      <c r="R502" s="2" t="s">
        <v>33</v>
      </c>
      <c r="S502" s="2" t="s">
        <v>27</v>
      </c>
      <c r="T502" s="2" t="s">
        <v>34</v>
      </c>
      <c r="U502" s="2" t="s">
        <v>35</v>
      </c>
      <c r="V502" s="2" t="s">
        <v>36</v>
      </c>
      <c r="W502" s="2" t="s">
        <v>37</v>
      </c>
      <c r="X502" s="6" t="s">
        <v>2486</v>
      </c>
      <c r="Y502" s="6" t="s">
        <v>2499</v>
      </c>
      <c r="Z502" t="str">
        <f t="shared" si="47"/>
        <v>97714153051</v>
      </c>
      <c r="AA502" t="str">
        <f t="shared" si="48"/>
        <v>14153051</v>
      </c>
      <c r="AB502" t="str">
        <f t="shared" si="49"/>
        <v>14153051</v>
      </c>
      <c r="AC502" t="str">
        <f t="shared" si="50"/>
        <v>+97714153051</v>
      </c>
      <c r="AD502" t="str">
        <f t="shared" si="51"/>
        <v>Landline</v>
      </c>
      <c r="AE502" t="str">
        <f t="shared" si="52"/>
        <v>Valid</v>
      </c>
    </row>
    <row r="503" spans="1:31" x14ac:dyDescent="0.3">
      <c r="A503" s="2" t="s">
        <v>2280</v>
      </c>
      <c r="B503" s="2" t="s">
        <v>2285</v>
      </c>
      <c r="C503" s="2" t="s">
        <v>2282</v>
      </c>
      <c r="D503" s="2" t="s">
        <v>1473</v>
      </c>
      <c r="E503" s="2" t="s">
        <v>2283</v>
      </c>
      <c r="F503" s="2" t="s">
        <v>2283</v>
      </c>
      <c r="G503" s="5" t="str" cm="1">
        <f t="array" ref="G503">IFERROR(INDEX(City_Lookup!$B$2:$B$297,MATCH(TRUE,ISNUMBER(SEARCH(City_Lookup!$A$2:$A$297,$F503&amp;" "&amp;$E503)),0)),"Not Available")</f>
        <v>Kaski</v>
      </c>
      <c r="H503" s="5" t="str">
        <f>IFERROR(INDEX(City_Lookup!$E$2:$E$66,MATCH($G503,City_Lookup!$D$2:$D$66,0)),"Not Available")</f>
        <v>Gandaki</v>
      </c>
      <c r="I503" s="2" t="s">
        <v>1259</v>
      </c>
      <c r="J503" s="5" t="s">
        <v>29</v>
      </c>
      <c r="K503" s="5">
        <v>30</v>
      </c>
      <c r="L503" s="2"/>
      <c r="M503" s="5">
        <f t="shared" si="53"/>
        <v>30</v>
      </c>
      <c r="N503" s="2" t="s">
        <v>2493</v>
      </c>
      <c r="O503" s="2">
        <v>2</v>
      </c>
      <c r="P503" s="2" t="s">
        <v>27</v>
      </c>
      <c r="Q503" s="2" t="s">
        <v>2284</v>
      </c>
      <c r="R503" s="2" t="s">
        <v>33</v>
      </c>
      <c r="S503" s="2" t="s">
        <v>27</v>
      </c>
      <c r="T503" s="2" t="s">
        <v>34</v>
      </c>
      <c r="U503" s="2" t="s">
        <v>35</v>
      </c>
      <c r="V503" s="2" t="s">
        <v>36</v>
      </c>
      <c r="W503" s="2" t="s">
        <v>37</v>
      </c>
      <c r="X503" s="6" t="s">
        <v>2486</v>
      </c>
      <c r="Y503" s="6" t="s">
        <v>2499</v>
      </c>
      <c r="Z503" t="str">
        <f t="shared" si="47"/>
        <v>97714153051</v>
      </c>
      <c r="AA503" t="str">
        <f t="shared" si="48"/>
        <v>14153051</v>
      </c>
      <c r="AB503" t="str">
        <f t="shared" si="49"/>
        <v>14153051</v>
      </c>
      <c r="AC503" t="str">
        <f t="shared" si="50"/>
        <v>+97714153051</v>
      </c>
      <c r="AD503" t="str">
        <f t="shared" si="51"/>
        <v>Landline</v>
      </c>
      <c r="AE503" t="str">
        <f t="shared" si="52"/>
        <v>Valid</v>
      </c>
    </row>
    <row r="504" spans="1:31" x14ac:dyDescent="0.3">
      <c r="A504" s="2" t="s">
        <v>2286</v>
      </c>
      <c r="B504" s="2" t="s">
        <v>2287</v>
      </c>
      <c r="C504" s="2" t="s">
        <v>2288</v>
      </c>
      <c r="D504" s="2" t="s">
        <v>1473</v>
      </c>
      <c r="E504" s="2" t="s">
        <v>2289</v>
      </c>
      <c r="F504" s="2" t="s">
        <v>2289</v>
      </c>
      <c r="G504" s="5" t="str" cm="1">
        <f t="array" ref="G504">IFERROR(INDEX(City_Lookup!$B$2:$B$297,MATCH(TRUE,ISNUMBER(SEARCH(City_Lookup!$A$2:$A$297,$F504&amp;" "&amp;$E504)),0)),"Not Available")</f>
        <v>Kaski</v>
      </c>
      <c r="H504" s="5" t="str">
        <f>IFERROR(INDEX(City_Lookup!$E$2:$E$66,MATCH($G504,City_Lookup!$D$2:$D$66,0)),"Not Available")</f>
        <v>Gandaki</v>
      </c>
      <c r="I504" s="2" t="s">
        <v>1259</v>
      </c>
      <c r="J504" s="5" t="s">
        <v>29</v>
      </c>
      <c r="K504" s="5">
        <v>30</v>
      </c>
      <c r="L504" s="2"/>
      <c r="M504" s="5">
        <f t="shared" si="53"/>
        <v>30</v>
      </c>
      <c r="N504" s="2" t="s">
        <v>2494</v>
      </c>
      <c r="O504" s="2">
        <v>1</v>
      </c>
      <c r="P504" s="2" t="s">
        <v>27</v>
      </c>
      <c r="Q504" s="2" t="s">
        <v>2290</v>
      </c>
      <c r="R504" s="2" t="s">
        <v>33</v>
      </c>
      <c r="S504" s="2" t="s">
        <v>27</v>
      </c>
      <c r="T504" s="2" t="s">
        <v>34</v>
      </c>
      <c r="U504" s="2" t="s">
        <v>35</v>
      </c>
      <c r="V504" s="2" t="s">
        <v>36</v>
      </c>
      <c r="W504" s="2" t="s">
        <v>37</v>
      </c>
      <c r="X504" s="6" t="s">
        <v>2486</v>
      </c>
      <c r="Y504" s="6" t="s">
        <v>2499</v>
      </c>
      <c r="Z504" t="str">
        <f t="shared" si="47"/>
        <v>97714153051</v>
      </c>
      <c r="AA504" t="str">
        <f t="shared" si="48"/>
        <v>14153051</v>
      </c>
      <c r="AB504" t="str">
        <f t="shared" si="49"/>
        <v>14153051</v>
      </c>
      <c r="AC504" t="str">
        <f t="shared" si="50"/>
        <v>+97714153051</v>
      </c>
      <c r="AD504" t="str">
        <f t="shared" si="51"/>
        <v>Landline</v>
      </c>
      <c r="AE504" t="str">
        <f t="shared" si="52"/>
        <v>Valid</v>
      </c>
    </row>
    <row r="505" spans="1:31" x14ac:dyDescent="0.3">
      <c r="A505" s="2" t="s">
        <v>2291</v>
      </c>
      <c r="B505" s="2" t="s">
        <v>2292</v>
      </c>
      <c r="C505" s="2" t="s">
        <v>2293</v>
      </c>
      <c r="D505" s="2" t="s">
        <v>1479</v>
      </c>
      <c r="E505" s="2" t="s">
        <v>2294</v>
      </c>
      <c r="F505" s="2" t="s">
        <v>2294</v>
      </c>
      <c r="G505" s="5" t="str" cm="1">
        <f t="array" ref="G505">IFERROR(INDEX(City_Lookup!$B$2:$B$297,MATCH(TRUE,ISNUMBER(SEARCH(City_Lookup!$A$2:$A$297,$F505&amp;" "&amp;$E505)),0)),"Not Available")</f>
        <v>Syangja</v>
      </c>
      <c r="H505" s="5" t="str">
        <f>IFERROR(INDEX(City_Lookup!$E$2:$E$66,MATCH($G505,City_Lookup!$D$2:$D$66,0)),"Not Available")</f>
        <v>Gandaki</v>
      </c>
      <c r="I505" s="2" t="s">
        <v>1259</v>
      </c>
      <c r="J505" s="5" t="s">
        <v>29</v>
      </c>
      <c r="K505" s="5">
        <v>30</v>
      </c>
      <c r="L505" s="2"/>
      <c r="M505" s="5">
        <f t="shared" si="53"/>
        <v>30</v>
      </c>
      <c r="N505" s="2" t="s">
        <v>2493</v>
      </c>
      <c r="O505" s="2">
        <v>1</v>
      </c>
      <c r="P505" s="2" t="s">
        <v>27</v>
      </c>
      <c r="Q505" s="2" t="s">
        <v>2295</v>
      </c>
      <c r="R505" s="2" t="s">
        <v>33</v>
      </c>
      <c r="S505" s="2" t="s">
        <v>27</v>
      </c>
      <c r="T505" s="2" t="s">
        <v>34</v>
      </c>
      <c r="U505" s="2" t="s">
        <v>35</v>
      </c>
      <c r="V505" s="2" t="s">
        <v>36</v>
      </c>
      <c r="W505" s="2" t="s">
        <v>37</v>
      </c>
      <c r="X505" s="6" t="s">
        <v>2486</v>
      </c>
      <c r="Y505" s="6" t="s">
        <v>2499</v>
      </c>
      <c r="Z505" t="str">
        <f t="shared" si="47"/>
        <v>97714153051</v>
      </c>
      <c r="AA505" t="str">
        <f t="shared" si="48"/>
        <v>14153051</v>
      </c>
      <c r="AB505" t="str">
        <f t="shared" si="49"/>
        <v>14153051</v>
      </c>
      <c r="AC505" t="str">
        <f t="shared" si="50"/>
        <v>+97714153051</v>
      </c>
      <c r="AD505" t="str">
        <f t="shared" si="51"/>
        <v>Landline</v>
      </c>
      <c r="AE505" t="str">
        <f t="shared" si="52"/>
        <v>Valid</v>
      </c>
    </row>
    <row r="506" spans="1:31" x14ac:dyDescent="0.3">
      <c r="A506" s="2" t="s">
        <v>2296</v>
      </c>
      <c r="B506" s="2" t="s">
        <v>2297</v>
      </c>
      <c r="C506" s="2" t="s">
        <v>2561</v>
      </c>
      <c r="D506" s="2" t="s">
        <v>1479</v>
      </c>
      <c r="E506" s="2" t="s">
        <v>2298</v>
      </c>
      <c r="F506" s="2" t="s">
        <v>2298</v>
      </c>
      <c r="G506" s="5" t="str" cm="1">
        <f t="array" ref="G506">IFERROR(INDEX(City_Lookup!$B$2:$B$297,MATCH(TRUE,ISNUMBER(SEARCH(City_Lookup!$A$2:$A$297,$F506&amp;" "&amp;$E506)),0)),"Not Available")</f>
        <v>Syangja</v>
      </c>
      <c r="H506" s="5" t="str">
        <f>IFERROR(INDEX(City_Lookup!$E$2:$E$66,MATCH($G506,City_Lookup!$D$2:$D$66,0)),"Not Available")</f>
        <v>Gandaki</v>
      </c>
      <c r="I506" s="2" t="s">
        <v>1259</v>
      </c>
      <c r="J506" s="5" t="s">
        <v>29</v>
      </c>
      <c r="K506" s="5">
        <v>30</v>
      </c>
      <c r="L506" s="2"/>
      <c r="M506" s="5">
        <f t="shared" si="53"/>
        <v>30</v>
      </c>
      <c r="N506" s="2" t="s">
        <v>2493</v>
      </c>
      <c r="O506" s="2">
        <v>1</v>
      </c>
      <c r="P506" s="2" t="s">
        <v>27</v>
      </c>
      <c r="Q506" s="2" t="s">
        <v>33</v>
      </c>
      <c r="R506" s="2" t="s">
        <v>27</v>
      </c>
      <c r="S506" s="2">
        <v>0</v>
      </c>
      <c r="T506" s="2" t="s">
        <v>35</v>
      </c>
      <c r="U506" s="2" t="s">
        <v>36</v>
      </c>
      <c r="V506" s="2" t="s">
        <v>36</v>
      </c>
      <c r="X506" s="6" t="s">
        <v>2486</v>
      </c>
      <c r="Y506" s="6" t="s">
        <v>2499</v>
      </c>
      <c r="Z506" t="str">
        <f t="shared" si="47"/>
        <v>97714153051</v>
      </c>
      <c r="AA506" t="str">
        <f t="shared" si="48"/>
        <v>14153051</v>
      </c>
      <c r="AB506" t="str">
        <f t="shared" si="49"/>
        <v>14153051</v>
      </c>
      <c r="AC506" t="str">
        <f t="shared" si="50"/>
        <v>+97714153051</v>
      </c>
      <c r="AD506" t="str">
        <f t="shared" si="51"/>
        <v>Landline</v>
      </c>
      <c r="AE506" t="str">
        <f t="shared" si="52"/>
        <v>Valid</v>
      </c>
    </row>
    <row r="507" spans="1:31" x14ac:dyDescent="0.3">
      <c r="A507" s="2" t="s">
        <v>2299</v>
      </c>
      <c r="B507" s="2" t="s">
        <v>2300</v>
      </c>
      <c r="C507" s="2" t="s">
        <v>2301</v>
      </c>
      <c r="D507" s="2" t="s">
        <v>1473</v>
      </c>
      <c r="E507" s="2" t="s">
        <v>2302</v>
      </c>
      <c r="F507" s="2" t="s">
        <v>2302</v>
      </c>
      <c r="G507" s="5" t="str" cm="1">
        <f t="array" ref="G507">IFERROR(INDEX(City_Lookup!$B$2:$B$297,MATCH(TRUE,ISNUMBER(SEARCH(City_Lookup!$A$2:$A$297,$F507&amp;" "&amp;$E507)),0)),"Not Available")</f>
        <v>Surkhet</v>
      </c>
      <c r="H507" s="5" t="str">
        <f>IFERROR(INDEX(City_Lookup!$E$2:$E$66,MATCH($G507,City_Lookup!$D$2:$D$66,0)),"Not Available")</f>
        <v>Karnali</v>
      </c>
      <c r="I507" s="2" t="s">
        <v>1259</v>
      </c>
      <c r="J507" s="5" t="s">
        <v>29</v>
      </c>
      <c r="K507" s="5">
        <v>30</v>
      </c>
      <c r="L507" s="2"/>
      <c r="M507" s="5">
        <f t="shared" si="53"/>
        <v>30</v>
      </c>
      <c r="N507" s="2" t="s">
        <v>2495</v>
      </c>
      <c r="O507" s="2">
        <v>1</v>
      </c>
      <c r="P507" s="2" t="s">
        <v>27</v>
      </c>
      <c r="Q507" s="2" t="s">
        <v>2303</v>
      </c>
      <c r="R507" s="2" t="s">
        <v>33</v>
      </c>
      <c r="S507" s="2" t="s">
        <v>27</v>
      </c>
      <c r="T507" s="2" t="s">
        <v>34</v>
      </c>
      <c r="U507" s="2" t="s">
        <v>35</v>
      </c>
      <c r="V507" s="2" t="s">
        <v>36</v>
      </c>
      <c r="W507" s="2" t="s">
        <v>37</v>
      </c>
      <c r="X507" s="6" t="s">
        <v>2486</v>
      </c>
      <c r="Y507" s="6" t="s">
        <v>2499</v>
      </c>
      <c r="Z507" t="str">
        <f t="shared" si="47"/>
        <v>97714153051</v>
      </c>
      <c r="AA507" t="str">
        <f t="shared" si="48"/>
        <v>14153051</v>
      </c>
      <c r="AB507" t="str">
        <f t="shared" si="49"/>
        <v>14153051</v>
      </c>
      <c r="AC507" t="str">
        <f t="shared" si="50"/>
        <v>+97714153051</v>
      </c>
      <c r="AD507" t="str">
        <f t="shared" si="51"/>
        <v>Landline</v>
      </c>
      <c r="AE507" t="str">
        <f t="shared" si="52"/>
        <v>Valid</v>
      </c>
    </row>
    <row r="508" spans="1:31" x14ac:dyDescent="0.3">
      <c r="A508" s="2" t="s">
        <v>2304</v>
      </c>
      <c r="B508" s="2" t="s">
        <v>2305</v>
      </c>
      <c r="C508" s="2" t="s">
        <v>2306</v>
      </c>
      <c r="D508" s="2" t="s">
        <v>1479</v>
      </c>
      <c r="E508" s="2" t="s">
        <v>2307</v>
      </c>
      <c r="F508" s="2" t="s">
        <v>2307</v>
      </c>
      <c r="G508" s="5" t="str" cm="1">
        <f t="array" ref="G508">IFERROR(INDEX(City_Lookup!$B$2:$B$297,MATCH(TRUE,ISNUMBER(SEARCH(City_Lookup!$A$2:$A$297,$F508&amp;" "&amp;$E508)),0)),"Not Available")</f>
        <v>Kailali</v>
      </c>
      <c r="H508" s="5" t="str">
        <f>IFERROR(INDEX(City_Lookup!$E$2:$E$66,MATCH($G508,City_Lookup!$D$2:$D$66,0)),"Not Available")</f>
        <v>Sudurpashchim</v>
      </c>
      <c r="I508" s="2" t="s">
        <v>1259</v>
      </c>
      <c r="J508" s="5" t="s">
        <v>29</v>
      </c>
      <c r="K508" s="5">
        <v>30</v>
      </c>
      <c r="L508" s="2"/>
      <c r="M508" s="5">
        <f t="shared" si="53"/>
        <v>30</v>
      </c>
      <c r="N508" s="2" t="s">
        <v>2493</v>
      </c>
      <c r="O508" s="2">
        <v>1</v>
      </c>
      <c r="P508" s="2" t="s">
        <v>27</v>
      </c>
      <c r="Q508" s="2" t="s">
        <v>2308</v>
      </c>
      <c r="R508" s="2" t="s">
        <v>33</v>
      </c>
      <c r="S508" s="2" t="s">
        <v>27</v>
      </c>
      <c r="T508" s="2" t="s">
        <v>34</v>
      </c>
      <c r="U508" s="2" t="s">
        <v>35</v>
      </c>
      <c r="V508" s="2" t="s">
        <v>36</v>
      </c>
      <c r="W508" s="2" t="s">
        <v>37</v>
      </c>
      <c r="X508" s="6" t="s">
        <v>2486</v>
      </c>
      <c r="Y508" s="6" t="s">
        <v>2499</v>
      </c>
      <c r="Z508" t="str">
        <f t="shared" si="47"/>
        <v>97714153051</v>
      </c>
      <c r="AA508" t="str">
        <f t="shared" si="48"/>
        <v>14153051</v>
      </c>
      <c r="AB508" t="str">
        <f t="shared" si="49"/>
        <v>14153051</v>
      </c>
      <c r="AC508" t="str">
        <f t="shared" si="50"/>
        <v>+97714153051</v>
      </c>
      <c r="AD508" t="str">
        <f t="shared" si="51"/>
        <v>Landline</v>
      </c>
      <c r="AE508" t="str">
        <f t="shared" si="52"/>
        <v>Valid</v>
      </c>
    </row>
    <row r="509" spans="1:31" x14ac:dyDescent="0.3">
      <c r="A509" s="2" t="s">
        <v>2309</v>
      </c>
      <c r="B509" s="2" t="s">
        <v>2310</v>
      </c>
      <c r="C509" s="2" t="s">
        <v>2311</v>
      </c>
      <c r="D509" s="2" t="s">
        <v>1479</v>
      </c>
      <c r="E509" s="2" t="s">
        <v>2312</v>
      </c>
      <c r="F509" s="2" t="s">
        <v>2312</v>
      </c>
      <c r="G509" s="5" t="str" cm="1">
        <f t="array" ref="G509">IFERROR(INDEX(City_Lookup!$B$2:$B$297,MATCH(TRUE,ISNUMBER(SEARCH(City_Lookup!$A$2:$A$297,$F509&amp;" "&amp;$E509)),0)),"Not Available")</f>
        <v>Bara</v>
      </c>
      <c r="H509" s="5" t="str">
        <f>IFERROR(INDEX(City_Lookup!$E$2:$E$66,MATCH($G509,City_Lookup!$D$2:$D$66,0)),"Not Available")</f>
        <v>Madhesh</v>
      </c>
      <c r="I509" s="2" t="s">
        <v>1259</v>
      </c>
      <c r="J509" s="5" t="s">
        <v>29</v>
      </c>
      <c r="K509" s="5">
        <v>30</v>
      </c>
      <c r="L509" s="2"/>
      <c r="M509" s="5">
        <f t="shared" si="53"/>
        <v>30</v>
      </c>
      <c r="N509" s="2" t="s">
        <v>2494</v>
      </c>
      <c r="O509" s="2">
        <v>1</v>
      </c>
      <c r="P509" s="2" t="s">
        <v>27</v>
      </c>
      <c r="Q509" s="2" t="s">
        <v>2313</v>
      </c>
      <c r="R509" s="2" t="s">
        <v>33</v>
      </c>
      <c r="S509" s="2" t="s">
        <v>27</v>
      </c>
      <c r="T509" s="2" t="s">
        <v>34</v>
      </c>
      <c r="U509" s="2" t="s">
        <v>35</v>
      </c>
      <c r="V509" s="2" t="s">
        <v>36</v>
      </c>
      <c r="W509" s="2" t="s">
        <v>37</v>
      </c>
      <c r="X509" s="6" t="s">
        <v>2486</v>
      </c>
      <c r="Y509" s="6" t="s">
        <v>2499</v>
      </c>
      <c r="Z509" t="str">
        <f t="shared" si="47"/>
        <v>97714153051</v>
      </c>
      <c r="AA509" t="str">
        <f t="shared" si="48"/>
        <v>14153051</v>
      </c>
      <c r="AB509" t="str">
        <f t="shared" si="49"/>
        <v>14153051</v>
      </c>
      <c r="AC509" t="str">
        <f t="shared" si="50"/>
        <v>+97714153051</v>
      </c>
      <c r="AD509" t="str">
        <f t="shared" si="51"/>
        <v>Landline</v>
      </c>
      <c r="AE509" t="str">
        <f t="shared" si="52"/>
        <v>Valid</v>
      </c>
    </row>
    <row r="510" spans="1:31" x14ac:dyDescent="0.3">
      <c r="A510" s="2" t="s">
        <v>2314</v>
      </c>
      <c r="B510" s="2" t="s">
        <v>2315</v>
      </c>
      <c r="C510" s="2" t="s">
        <v>2316</v>
      </c>
      <c r="D510" s="2" t="s">
        <v>1473</v>
      </c>
      <c r="E510" s="2" t="s">
        <v>2317</v>
      </c>
      <c r="F510" s="2" t="s">
        <v>2317</v>
      </c>
      <c r="G510" s="5" t="str" cm="1">
        <f t="array" ref="G510">IFERROR(INDEX(City_Lookup!$B$2:$B$297,MATCH(TRUE,ISNUMBER(SEARCH(City_Lookup!$A$2:$A$297,$F510&amp;" "&amp;$E510)),0)),"Not Available")</f>
        <v>Bhaktapur</v>
      </c>
      <c r="H510" s="5" t="str">
        <f>IFERROR(INDEX(City_Lookup!$E$2:$E$66,MATCH($G510,City_Lookup!$D$2:$D$66,0)),"Not Available")</f>
        <v>Bagmati</v>
      </c>
      <c r="I510" s="2" t="s">
        <v>1259</v>
      </c>
      <c r="J510" s="5" t="s">
        <v>29</v>
      </c>
      <c r="K510" s="5">
        <v>30</v>
      </c>
      <c r="L510" s="2"/>
      <c r="M510" s="5">
        <f t="shared" si="53"/>
        <v>30</v>
      </c>
      <c r="N510" s="2" t="s">
        <v>2493</v>
      </c>
      <c r="O510" s="2">
        <v>1</v>
      </c>
      <c r="P510" s="2" t="s">
        <v>27</v>
      </c>
      <c r="Q510" s="2" t="s">
        <v>2318</v>
      </c>
      <c r="R510" s="2" t="s">
        <v>33</v>
      </c>
      <c r="S510" s="2" t="s">
        <v>27</v>
      </c>
      <c r="T510" s="2" t="s">
        <v>34</v>
      </c>
      <c r="U510" s="2" t="s">
        <v>35</v>
      </c>
      <c r="V510" s="2" t="s">
        <v>36</v>
      </c>
      <c r="W510" s="2" t="s">
        <v>37</v>
      </c>
      <c r="X510" s="6" t="s">
        <v>2486</v>
      </c>
      <c r="Y510" s="6" t="s">
        <v>2499</v>
      </c>
      <c r="Z510" t="str">
        <f t="shared" si="47"/>
        <v>97714153051</v>
      </c>
      <c r="AA510" t="str">
        <f t="shared" si="48"/>
        <v>14153051</v>
      </c>
      <c r="AB510" t="str">
        <f t="shared" si="49"/>
        <v>14153051</v>
      </c>
      <c r="AC510" t="str">
        <f t="shared" si="50"/>
        <v>+97714153051</v>
      </c>
      <c r="AD510" t="str">
        <f t="shared" si="51"/>
        <v>Landline</v>
      </c>
      <c r="AE510" t="str">
        <f t="shared" si="52"/>
        <v>Valid</v>
      </c>
    </row>
    <row r="511" spans="1:31" x14ac:dyDescent="0.3">
      <c r="A511" s="2" t="s">
        <v>2319</v>
      </c>
      <c r="B511" s="2" t="s">
        <v>2320</v>
      </c>
      <c r="C511" s="2" t="s">
        <v>2321</v>
      </c>
      <c r="D511" s="2" t="s">
        <v>1473</v>
      </c>
      <c r="E511" s="2" t="s">
        <v>2322</v>
      </c>
      <c r="F511" s="2" t="s">
        <v>2322</v>
      </c>
      <c r="G511" s="5" t="str" cm="1">
        <f t="array" ref="G511">IFERROR(INDEX(City_Lookup!$B$2:$B$297,MATCH(TRUE,ISNUMBER(SEARCH(City_Lookup!$A$2:$A$297,$F511&amp;" "&amp;$E511)),0)),"Not Available")</f>
        <v>Chitwan</v>
      </c>
      <c r="H511" s="5" t="str">
        <f>IFERROR(INDEX(City_Lookup!$E$2:$E$66,MATCH($G511,City_Lookup!$D$2:$D$66,0)),"Not Available")</f>
        <v>Bagmati</v>
      </c>
      <c r="I511" s="2" t="s">
        <v>1259</v>
      </c>
      <c r="J511" s="5" t="s">
        <v>29</v>
      </c>
      <c r="K511" s="5">
        <v>30</v>
      </c>
      <c r="L511" s="2"/>
      <c r="M511" s="5">
        <f t="shared" si="53"/>
        <v>30</v>
      </c>
      <c r="N511" s="2" t="s">
        <v>2493</v>
      </c>
      <c r="O511" s="2">
        <v>1</v>
      </c>
      <c r="P511" s="2" t="s">
        <v>27</v>
      </c>
      <c r="Q511" s="2" t="s">
        <v>2323</v>
      </c>
      <c r="R511" s="2" t="s">
        <v>33</v>
      </c>
      <c r="S511" s="2" t="s">
        <v>27</v>
      </c>
      <c r="T511" s="2" t="s">
        <v>34</v>
      </c>
      <c r="U511" s="2" t="s">
        <v>35</v>
      </c>
      <c r="V511" s="2" t="s">
        <v>36</v>
      </c>
      <c r="W511" s="2" t="s">
        <v>37</v>
      </c>
      <c r="X511" s="6" t="s">
        <v>2486</v>
      </c>
      <c r="Y511" s="6" t="s">
        <v>2499</v>
      </c>
      <c r="Z511" t="str">
        <f t="shared" si="47"/>
        <v>97714153051</v>
      </c>
      <c r="AA511" t="str">
        <f t="shared" si="48"/>
        <v>14153051</v>
      </c>
      <c r="AB511" t="str">
        <f t="shared" si="49"/>
        <v>14153051</v>
      </c>
      <c r="AC511" t="str">
        <f t="shared" si="50"/>
        <v>+97714153051</v>
      </c>
      <c r="AD511" t="str">
        <f t="shared" si="51"/>
        <v>Landline</v>
      </c>
      <c r="AE511" t="str">
        <f t="shared" si="52"/>
        <v>Valid</v>
      </c>
    </row>
    <row r="512" spans="1:31" x14ac:dyDescent="0.3">
      <c r="A512" s="2" t="s">
        <v>2324</v>
      </c>
      <c r="B512" s="2" t="s">
        <v>2325</v>
      </c>
      <c r="C512" s="2" t="s">
        <v>2326</v>
      </c>
      <c r="D512" s="2" t="s">
        <v>1479</v>
      </c>
      <c r="E512" s="2" t="s">
        <v>2327</v>
      </c>
      <c r="F512" s="2" t="s">
        <v>2327</v>
      </c>
      <c r="G512" s="5" t="str" cm="1">
        <f t="array" ref="G512">IFERROR(INDEX(City_Lookup!$B$2:$B$297,MATCH(TRUE,ISNUMBER(SEARCH(City_Lookup!$A$2:$A$297,$F512&amp;" "&amp;$E512)),0)),"Not Available")</f>
        <v>Chitwan</v>
      </c>
      <c r="H512" s="5" t="str">
        <f>IFERROR(INDEX(City_Lookup!$E$2:$E$66,MATCH($G512,City_Lookup!$D$2:$D$66,0)),"Not Available")</f>
        <v>Bagmati</v>
      </c>
      <c r="I512" s="2" t="s">
        <v>1259</v>
      </c>
      <c r="J512" s="5" t="s">
        <v>29</v>
      </c>
      <c r="K512" s="5">
        <v>30</v>
      </c>
      <c r="L512" s="2"/>
      <c r="M512" s="5">
        <f t="shared" si="53"/>
        <v>30</v>
      </c>
      <c r="N512" s="2" t="s">
        <v>2494</v>
      </c>
      <c r="O512" s="2">
        <v>1</v>
      </c>
      <c r="P512" s="2" t="s">
        <v>27</v>
      </c>
      <c r="Q512" s="2" t="s">
        <v>2328</v>
      </c>
      <c r="R512" s="2" t="s">
        <v>33</v>
      </c>
      <c r="S512" s="2" t="s">
        <v>27</v>
      </c>
      <c r="T512" s="2" t="s">
        <v>34</v>
      </c>
      <c r="U512" s="2" t="s">
        <v>35</v>
      </c>
      <c r="V512" s="2" t="s">
        <v>36</v>
      </c>
      <c r="W512" s="2" t="s">
        <v>37</v>
      </c>
      <c r="X512" s="6" t="s">
        <v>2486</v>
      </c>
      <c r="Y512" s="6" t="s">
        <v>2499</v>
      </c>
      <c r="Z512" t="str">
        <f t="shared" si="47"/>
        <v>97714153051</v>
      </c>
      <c r="AA512" t="str">
        <f t="shared" si="48"/>
        <v>14153051</v>
      </c>
      <c r="AB512" t="str">
        <f t="shared" si="49"/>
        <v>14153051</v>
      </c>
      <c r="AC512" t="str">
        <f t="shared" si="50"/>
        <v>+97714153051</v>
      </c>
      <c r="AD512" t="str">
        <f t="shared" si="51"/>
        <v>Landline</v>
      </c>
      <c r="AE512" t="str">
        <f t="shared" si="52"/>
        <v>Valid</v>
      </c>
    </row>
    <row r="513" spans="1:31" x14ac:dyDescent="0.3">
      <c r="A513" s="2" t="s">
        <v>2329</v>
      </c>
      <c r="B513" s="2" t="s">
        <v>2330</v>
      </c>
      <c r="C513" s="2" t="s">
        <v>2331</v>
      </c>
      <c r="D513" s="2" t="s">
        <v>1479</v>
      </c>
      <c r="E513" s="2" t="s">
        <v>2332</v>
      </c>
      <c r="F513" s="2" t="s">
        <v>2332</v>
      </c>
      <c r="G513" s="5" t="str" cm="1">
        <f t="array" ref="G513">IFERROR(INDEX(City_Lookup!$B$2:$B$297,MATCH(TRUE,ISNUMBER(SEARCH(City_Lookup!$A$2:$A$297,$F513&amp;" "&amp;$E513)),0)),"Not Available")</f>
        <v>Chitwan</v>
      </c>
      <c r="H513" s="5" t="str">
        <f>IFERROR(INDEX(City_Lookup!$E$2:$E$66,MATCH($G513,City_Lookup!$D$2:$D$66,0)),"Not Available")</f>
        <v>Bagmati</v>
      </c>
      <c r="I513" s="2" t="s">
        <v>1259</v>
      </c>
      <c r="J513" s="5" t="s">
        <v>29</v>
      </c>
      <c r="K513" s="5">
        <v>30</v>
      </c>
      <c r="L513" s="2"/>
      <c r="M513" s="5">
        <f t="shared" si="53"/>
        <v>30</v>
      </c>
      <c r="N513" s="2" t="s">
        <v>2493</v>
      </c>
      <c r="O513" s="2">
        <v>1</v>
      </c>
      <c r="P513" s="2" t="s">
        <v>27</v>
      </c>
      <c r="Q513" s="2" t="s">
        <v>2333</v>
      </c>
      <c r="R513" s="2" t="s">
        <v>33</v>
      </c>
      <c r="S513" s="2" t="s">
        <v>27</v>
      </c>
      <c r="T513" s="2" t="s">
        <v>34</v>
      </c>
      <c r="U513" s="2" t="s">
        <v>35</v>
      </c>
      <c r="V513" s="2" t="s">
        <v>36</v>
      </c>
      <c r="W513" s="2" t="s">
        <v>37</v>
      </c>
      <c r="X513" s="6" t="s">
        <v>2486</v>
      </c>
      <c r="Y513" s="6" t="s">
        <v>2499</v>
      </c>
      <c r="Z513" t="str">
        <f t="shared" si="47"/>
        <v>97714153051</v>
      </c>
      <c r="AA513" t="str">
        <f t="shared" si="48"/>
        <v>14153051</v>
      </c>
      <c r="AB513" t="str">
        <f t="shared" si="49"/>
        <v>14153051</v>
      </c>
      <c r="AC513" t="str">
        <f t="shared" si="50"/>
        <v>+97714153051</v>
      </c>
      <c r="AD513" t="str">
        <f t="shared" si="51"/>
        <v>Landline</v>
      </c>
      <c r="AE513" t="str">
        <f t="shared" si="52"/>
        <v>Valid</v>
      </c>
    </row>
    <row r="514" spans="1:31" x14ac:dyDescent="0.3">
      <c r="A514" s="2" t="s">
        <v>2334</v>
      </c>
      <c r="B514" s="2" t="s">
        <v>2335</v>
      </c>
      <c r="C514" s="2" t="s">
        <v>2336</v>
      </c>
      <c r="D514" s="2" t="s">
        <v>1479</v>
      </c>
      <c r="E514" s="2" t="s">
        <v>2337</v>
      </c>
      <c r="F514" s="2" t="s">
        <v>2337</v>
      </c>
      <c r="G514" s="5" t="str" cm="1">
        <f t="array" ref="G514">IFERROR(INDEX(City_Lookup!$B$2:$B$297,MATCH(TRUE,ISNUMBER(SEARCH(City_Lookup!$A$2:$A$297,$F514&amp;" "&amp;$E514)),0)),"Not Available")</f>
        <v>Dhading</v>
      </c>
      <c r="H514" s="5" t="str">
        <f>IFERROR(INDEX(City_Lookup!$E$2:$E$66,MATCH($G514,City_Lookup!$D$2:$D$66,0)),"Not Available")</f>
        <v>Bagmati</v>
      </c>
      <c r="I514" s="2" t="s">
        <v>1259</v>
      </c>
      <c r="J514" s="5" t="s">
        <v>29</v>
      </c>
      <c r="K514" s="5">
        <v>30</v>
      </c>
      <c r="L514" s="2"/>
      <c r="M514" s="5">
        <f t="shared" si="53"/>
        <v>30</v>
      </c>
      <c r="N514" s="2" t="s">
        <v>2493</v>
      </c>
      <c r="O514" s="2">
        <v>1</v>
      </c>
      <c r="P514" s="2" t="s">
        <v>27</v>
      </c>
      <c r="Q514" s="2" t="s">
        <v>2338</v>
      </c>
      <c r="R514" s="2" t="s">
        <v>33</v>
      </c>
      <c r="S514" s="2" t="s">
        <v>27</v>
      </c>
      <c r="T514" s="2" t="s">
        <v>34</v>
      </c>
      <c r="U514" s="2" t="s">
        <v>35</v>
      </c>
      <c r="V514" s="2" t="s">
        <v>36</v>
      </c>
      <c r="W514" s="2" t="s">
        <v>37</v>
      </c>
      <c r="X514" s="6" t="s">
        <v>2486</v>
      </c>
      <c r="Y514" s="6" t="s">
        <v>2499</v>
      </c>
      <c r="Z514" t="str">
        <f t="shared" si="47"/>
        <v>97714153051</v>
      </c>
      <c r="AA514" t="str">
        <f t="shared" si="48"/>
        <v>14153051</v>
      </c>
      <c r="AB514" t="str">
        <f t="shared" si="49"/>
        <v>14153051</v>
      </c>
      <c r="AC514" t="str">
        <f t="shared" si="50"/>
        <v>+97714153051</v>
      </c>
      <c r="AD514" t="str">
        <f t="shared" si="51"/>
        <v>Landline</v>
      </c>
      <c r="AE514" t="str">
        <f t="shared" si="52"/>
        <v>Valid</v>
      </c>
    </row>
    <row r="515" spans="1:31" x14ac:dyDescent="0.3">
      <c r="A515" s="2" t="s">
        <v>2339</v>
      </c>
      <c r="B515" s="2" t="s">
        <v>2340</v>
      </c>
      <c r="C515" s="2" t="s">
        <v>2341</v>
      </c>
      <c r="D515" s="2" t="s">
        <v>1479</v>
      </c>
      <c r="E515" s="2" t="s">
        <v>2342</v>
      </c>
      <c r="F515" s="2" t="s">
        <v>2342</v>
      </c>
      <c r="G515" s="5" t="str" cm="1">
        <f t="array" ref="G515">IFERROR(INDEX(City_Lookup!$B$2:$B$297,MATCH(TRUE,ISNUMBER(SEARCH(City_Lookup!$A$2:$A$297,$F515&amp;" "&amp;$E515)),0)),"Not Available")</f>
        <v>Dolakha</v>
      </c>
      <c r="H515" s="5" t="str">
        <f>IFERROR(INDEX(City_Lookup!$E$2:$E$66,MATCH($G515,City_Lookup!$D$2:$D$66,0)),"Not Available")</f>
        <v>Bagmati</v>
      </c>
      <c r="I515" s="2" t="s">
        <v>1259</v>
      </c>
      <c r="J515" s="5" t="s">
        <v>29</v>
      </c>
      <c r="K515" s="5">
        <v>30</v>
      </c>
      <c r="L515" s="2"/>
      <c r="M515" s="5">
        <f t="shared" si="53"/>
        <v>30</v>
      </c>
      <c r="N515" s="2" t="s">
        <v>2493</v>
      </c>
      <c r="O515" s="2">
        <v>1</v>
      </c>
      <c r="P515" s="2" t="s">
        <v>27</v>
      </c>
      <c r="Q515" s="2" t="s">
        <v>2343</v>
      </c>
      <c r="R515" s="2" t="s">
        <v>33</v>
      </c>
      <c r="S515" s="2" t="s">
        <v>27</v>
      </c>
      <c r="T515" s="2" t="s">
        <v>34</v>
      </c>
      <c r="U515" s="2" t="s">
        <v>35</v>
      </c>
      <c r="V515" s="2" t="s">
        <v>36</v>
      </c>
      <c r="W515" s="2" t="s">
        <v>37</v>
      </c>
      <c r="X515" s="6" t="s">
        <v>2486</v>
      </c>
      <c r="Y515" s="6" t="s">
        <v>2499</v>
      </c>
      <c r="Z515" t="str">
        <f t="shared" ref="Z515:Z518" si="54">IF($X515="Not Available","",TRIM(LEFT(SUBSTITUTE(SUBSTITUTE(SUBSTITUTE(SUBSTITUTE(SUBSTITUTE(SUBSTITUTE(SUBSTITUTE($X515," ",""),"-",""),"(",""),")",""),".",""),"+","")&amp;"/","/",REPT(" ",60)),60)))</f>
        <v>97714153051</v>
      </c>
      <c r="AA515" t="str">
        <f t="shared" ref="AA515:AA518" si="55">IF($Z515="","",IF(ISNUMBER(-$Z515),IF(LEFT($Z515,3)="977",MID($Z515,4,20),$Z515),IF(ISNUMBER(SEARCH("977",$Z515)),MID($Z515,SEARCH("977",$Z515)+3,20),$Z515)))</f>
        <v>14153051</v>
      </c>
      <c r="AB515" t="str">
        <f t="shared" ref="AB515:AB518" si="56">IF($AA515="","",IF(LEFT($AA515,1)="0",MID($AA515,2,20),$AA515))</f>
        <v>14153051</v>
      </c>
      <c r="AC515" t="str">
        <f t="shared" ref="AC515:AC518" si="57">IF($AB515="","Not Available","+977"&amp;$AB515)</f>
        <v>+97714153051</v>
      </c>
      <c r="AD515" t="str">
        <f t="shared" ref="AD515:AD518" si="58">IF($AB515="","Not Available",IF(AND(LEN($AB515)=10,LEFT($AB515,1)="9"),"Mobile",IF(AND(LEN($AB515)&gt;=8,LEN($AB515)&lt;=9),IF(ISNUMBER(SEARCH("/",$X515)),"Landline (multiple lines)","Landline"),"Unrecognised")))</f>
        <v>Landline</v>
      </c>
      <c r="AE515" t="str">
        <f t="shared" ref="AE515:AE518" si="59">IF($AB515="","Not Available",IF(AND(ISNUMBER(-$AB515),$AD515&lt;&gt;"Unrecognised"),"Valid","Check format"))</f>
        <v>Valid</v>
      </c>
    </row>
    <row r="516" spans="1:31" x14ac:dyDescent="0.3">
      <c r="A516" s="2" t="s">
        <v>2344</v>
      </c>
      <c r="B516" s="2" t="s">
        <v>2345</v>
      </c>
      <c r="C516" s="2" t="s">
        <v>2346</v>
      </c>
      <c r="D516" s="2" t="s">
        <v>1473</v>
      </c>
      <c r="E516" s="2" t="s">
        <v>2347</v>
      </c>
      <c r="F516" s="2" t="s">
        <v>2347</v>
      </c>
      <c r="G516" s="5" t="str" cm="1">
        <f t="array" ref="G516">IFERROR(INDEX(City_Lookup!$B$2:$B$297,MATCH(TRUE,ISNUMBER(SEARCH(City_Lookup!$A$2:$A$297,$F516&amp;" "&amp;$E516)),0)),"Not Available")</f>
        <v>Dolakha</v>
      </c>
      <c r="H516" s="5" t="str">
        <f>IFERROR(INDEX(City_Lookup!$E$2:$E$66,MATCH($G516,City_Lookup!$D$2:$D$66,0)),"Not Available")</f>
        <v>Bagmati</v>
      </c>
      <c r="I516" s="2" t="s">
        <v>1259</v>
      </c>
      <c r="J516" s="5" t="s">
        <v>29</v>
      </c>
      <c r="K516" s="5">
        <v>30</v>
      </c>
      <c r="L516" s="2"/>
      <c r="M516" s="5">
        <f t="shared" si="53"/>
        <v>30</v>
      </c>
      <c r="N516" s="2" t="s">
        <v>2493</v>
      </c>
      <c r="O516" s="2">
        <v>1</v>
      </c>
      <c r="P516" s="2" t="s">
        <v>27</v>
      </c>
      <c r="Q516" s="2" t="s">
        <v>2348</v>
      </c>
      <c r="R516" s="2" t="s">
        <v>33</v>
      </c>
      <c r="S516" s="2" t="s">
        <v>27</v>
      </c>
      <c r="T516" s="2" t="s">
        <v>34</v>
      </c>
      <c r="U516" s="2" t="s">
        <v>35</v>
      </c>
      <c r="V516" s="2" t="s">
        <v>36</v>
      </c>
      <c r="W516" s="2" t="s">
        <v>37</v>
      </c>
      <c r="X516" s="6" t="s">
        <v>2486</v>
      </c>
      <c r="Y516" s="6" t="s">
        <v>2499</v>
      </c>
      <c r="Z516" t="str">
        <f t="shared" si="54"/>
        <v>97714153051</v>
      </c>
      <c r="AA516" t="str">
        <f t="shared" si="55"/>
        <v>14153051</v>
      </c>
      <c r="AB516" t="str">
        <f t="shared" si="56"/>
        <v>14153051</v>
      </c>
      <c r="AC516" t="str">
        <f t="shared" si="57"/>
        <v>+97714153051</v>
      </c>
      <c r="AD516" t="str">
        <f t="shared" si="58"/>
        <v>Landline</v>
      </c>
      <c r="AE516" t="str">
        <f t="shared" si="59"/>
        <v>Valid</v>
      </c>
    </row>
    <row r="517" spans="1:31" x14ac:dyDescent="0.3">
      <c r="A517" s="2" t="s">
        <v>2349</v>
      </c>
      <c r="B517" s="2" t="s">
        <v>2350</v>
      </c>
      <c r="C517" s="2" t="s">
        <v>2351</v>
      </c>
      <c r="D517" s="2" t="s">
        <v>1473</v>
      </c>
      <c r="E517" s="2" t="s">
        <v>2352</v>
      </c>
      <c r="F517" s="2" t="s">
        <v>2352</v>
      </c>
      <c r="G517" s="5" t="str" cm="1">
        <f t="array" ref="G517">IFERROR(INDEX(City_Lookup!$B$2:$B$297,MATCH(TRUE,ISNUMBER(SEARCH(City_Lookup!$A$2:$A$297,$F517&amp;" "&amp;$E517)),0)),"Not Available")</f>
        <v>Dolakha</v>
      </c>
      <c r="H517" s="5" t="str">
        <f>IFERROR(INDEX(City_Lookup!$E$2:$E$66,MATCH($G517,City_Lookup!$D$2:$D$66,0)),"Not Available")</f>
        <v>Bagmati</v>
      </c>
      <c r="I517" s="2" t="s">
        <v>1259</v>
      </c>
      <c r="J517" s="5" t="s">
        <v>29</v>
      </c>
      <c r="K517" s="5">
        <v>30</v>
      </c>
      <c r="L517" s="2"/>
      <c r="M517" s="5">
        <f t="shared" si="53"/>
        <v>30</v>
      </c>
      <c r="N517" s="2" t="s">
        <v>2494</v>
      </c>
      <c r="O517" s="2">
        <v>1</v>
      </c>
      <c r="P517" s="2" t="s">
        <v>27</v>
      </c>
      <c r="Q517" s="2" t="s">
        <v>2353</v>
      </c>
      <c r="R517" s="2" t="s">
        <v>33</v>
      </c>
      <c r="S517" s="2" t="s">
        <v>27</v>
      </c>
      <c r="T517" s="2" t="s">
        <v>34</v>
      </c>
      <c r="U517" s="2" t="s">
        <v>35</v>
      </c>
      <c r="V517" s="2" t="s">
        <v>36</v>
      </c>
      <c r="W517" s="2" t="s">
        <v>37</v>
      </c>
      <c r="X517" s="6" t="s">
        <v>2486</v>
      </c>
      <c r="Y517" s="6" t="s">
        <v>2499</v>
      </c>
      <c r="Z517" t="str">
        <f t="shared" si="54"/>
        <v>97714153051</v>
      </c>
      <c r="AA517" t="str">
        <f t="shared" si="55"/>
        <v>14153051</v>
      </c>
      <c r="AB517" t="str">
        <f t="shared" si="56"/>
        <v>14153051</v>
      </c>
      <c r="AC517" t="str">
        <f t="shared" si="57"/>
        <v>+97714153051</v>
      </c>
      <c r="AD517" t="str">
        <f t="shared" si="58"/>
        <v>Landline</v>
      </c>
      <c r="AE517" t="str">
        <f t="shared" si="59"/>
        <v>Valid</v>
      </c>
    </row>
    <row r="518" spans="1:31" x14ac:dyDescent="0.3">
      <c r="A518" s="2" t="s">
        <v>2354</v>
      </c>
      <c r="B518" s="2" t="s">
        <v>2355</v>
      </c>
      <c r="C518" s="2" t="s">
        <v>2356</v>
      </c>
      <c r="D518" s="2" t="s">
        <v>1479</v>
      </c>
      <c r="E518" s="2" t="s">
        <v>2357</v>
      </c>
      <c r="F518" s="2" t="s">
        <v>2357</v>
      </c>
      <c r="G518" s="5" t="str" cm="1">
        <f t="array" ref="G518">IFERROR(INDEX(City_Lookup!$B$2:$B$297,MATCH(TRUE,ISNUMBER(SEARCH(City_Lookup!$A$2:$A$297,$F518&amp;" "&amp;$E518)),0)),"Not Available")</f>
        <v>Dolakha</v>
      </c>
      <c r="H518" s="5" t="str">
        <f>IFERROR(INDEX(City_Lookup!$E$2:$E$66,MATCH($G518,City_Lookup!$D$2:$D$66,0)),"Not Available")</f>
        <v>Bagmati</v>
      </c>
      <c r="I518" s="2" t="s">
        <v>1259</v>
      </c>
      <c r="J518" s="5" t="s">
        <v>29</v>
      </c>
      <c r="K518" s="5">
        <v>30</v>
      </c>
      <c r="L518" s="2"/>
      <c r="M518" s="5">
        <f t="shared" si="53"/>
        <v>30</v>
      </c>
      <c r="N518" s="2" t="s">
        <v>2493</v>
      </c>
      <c r="O518" s="2">
        <v>1</v>
      </c>
      <c r="P518" s="2" t="s">
        <v>27</v>
      </c>
      <c r="Q518" s="2" t="s">
        <v>2358</v>
      </c>
      <c r="R518" s="2" t="s">
        <v>33</v>
      </c>
      <c r="S518" s="2" t="s">
        <v>27</v>
      </c>
      <c r="T518" s="2" t="s">
        <v>34</v>
      </c>
      <c r="U518" s="2" t="s">
        <v>35</v>
      </c>
      <c r="V518" s="2" t="s">
        <v>36</v>
      </c>
      <c r="W518" s="2" t="s">
        <v>37</v>
      </c>
      <c r="X518" s="6" t="s">
        <v>2486</v>
      </c>
      <c r="Y518" s="6" t="s">
        <v>2499</v>
      </c>
      <c r="Z518" t="str">
        <f t="shared" si="54"/>
        <v>97714153051</v>
      </c>
      <c r="AA518" t="str">
        <f t="shared" si="55"/>
        <v>14153051</v>
      </c>
      <c r="AB518" t="str">
        <f t="shared" si="56"/>
        <v>14153051</v>
      </c>
      <c r="AC518" t="str">
        <f t="shared" si="57"/>
        <v>+97714153051</v>
      </c>
      <c r="AD518" t="str">
        <f t="shared" si="58"/>
        <v>Landline</v>
      </c>
      <c r="AE518" t="str">
        <f t="shared" si="59"/>
        <v>Valid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D924-57B9-4941-B75F-A64365B4D982}">
  <dimension ref="A1:G297"/>
  <sheetViews>
    <sheetView workbookViewId="0"/>
  </sheetViews>
  <sheetFormatPr defaultRowHeight="14.4" x14ac:dyDescent="0.3"/>
  <sheetData>
    <row r="1" spans="1:7" x14ac:dyDescent="0.3">
      <c r="A1" s="3" t="s">
        <v>2503</v>
      </c>
      <c r="B1" s="3" t="s">
        <v>6</v>
      </c>
      <c r="C1" s="3"/>
      <c r="D1" s="3" t="s">
        <v>6</v>
      </c>
      <c r="E1" s="3" t="s">
        <v>7</v>
      </c>
      <c r="G1" s="3" t="s">
        <v>2557</v>
      </c>
    </row>
    <row r="2" spans="1:7" x14ac:dyDescent="0.3">
      <c r="A2" t="s">
        <v>2376</v>
      </c>
      <c r="B2" t="s">
        <v>156</v>
      </c>
      <c r="D2" t="s">
        <v>933</v>
      </c>
      <c r="E2" t="s">
        <v>125</v>
      </c>
      <c r="G2" t="s">
        <v>2560</v>
      </c>
    </row>
    <row r="3" spans="1:7" x14ac:dyDescent="0.3">
      <c r="A3" t="s">
        <v>2454</v>
      </c>
      <c r="B3" t="s">
        <v>933</v>
      </c>
      <c r="D3" t="s">
        <v>2194</v>
      </c>
      <c r="E3" t="s">
        <v>125</v>
      </c>
    </row>
    <row r="4" spans="1:7" x14ac:dyDescent="0.3">
      <c r="A4" t="s">
        <v>2461</v>
      </c>
      <c r="B4" t="s">
        <v>2464</v>
      </c>
      <c r="D4" t="s">
        <v>997</v>
      </c>
      <c r="E4" t="s">
        <v>125</v>
      </c>
    </row>
    <row r="5" spans="1:7" x14ac:dyDescent="0.3">
      <c r="A5" t="s">
        <v>2462</v>
      </c>
      <c r="B5" t="s">
        <v>2464</v>
      </c>
      <c r="D5" t="s">
        <v>124</v>
      </c>
      <c r="E5" t="s">
        <v>125</v>
      </c>
    </row>
    <row r="6" spans="1:7" x14ac:dyDescent="0.3">
      <c r="A6" t="s">
        <v>2439</v>
      </c>
      <c r="B6" t="s">
        <v>933</v>
      </c>
      <c r="D6" t="s">
        <v>882</v>
      </c>
      <c r="E6" t="s">
        <v>125</v>
      </c>
    </row>
    <row r="7" spans="1:7" x14ac:dyDescent="0.3">
      <c r="A7" t="s">
        <v>1162</v>
      </c>
      <c r="B7" t="s">
        <v>406</v>
      </c>
      <c r="D7" t="s">
        <v>202</v>
      </c>
      <c r="E7" t="s">
        <v>125</v>
      </c>
    </row>
    <row r="8" spans="1:7" x14ac:dyDescent="0.3">
      <c r="A8" t="s">
        <v>2504</v>
      </c>
      <c r="B8" t="s">
        <v>406</v>
      </c>
      <c r="D8" t="s">
        <v>1065</v>
      </c>
      <c r="E8" t="s">
        <v>125</v>
      </c>
    </row>
    <row r="9" spans="1:7" x14ac:dyDescent="0.3">
      <c r="A9" t="s">
        <v>2459</v>
      </c>
      <c r="B9" t="s">
        <v>137</v>
      </c>
      <c r="D9" t="s">
        <v>1006</v>
      </c>
      <c r="E9" t="s">
        <v>125</v>
      </c>
    </row>
    <row r="10" spans="1:7" x14ac:dyDescent="0.3">
      <c r="A10" t="s">
        <v>798</v>
      </c>
      <c r="B10" t="s">
        <v>799</v>
      </c>
      <c r="D10" t="s">
        <v>990</v>
      </c>
      <c r="E10" t="s">
        <v>125</v>
      </c>
    </row>
    <row r="11" spans="1:7" x14ac:dyDescent="0.3">
      <c r="A11" t="s">
        <v>2505</v>
      </c>
      <c r="B11" t="s">
        <v>111</v>
      </c>
      <c r="D11" t="s">
        <v>701</v>
      </c>
      <c r="E11" t="s">
        <v>54</v>
      </c>
    </row>
    <row r="12" spans="1:7" x14ac:dyDescent="0.3">
      <c r="A12" t="s">
        <v>2506</v>
      </c>
      <c r="B12" t="s">
        <v>118</v>
      </c>
      <c r="D12" t="s">
        <v>75</v>
      </c>
      <c r="E12" t="s">
        <v>54</v>
      </c>
    </row>
    <row r="13" spans="1:7" x14ac:dyDescent="0.3">
      <c r="A13" t="s">
        <v>2507</v>
      </c>
      <c r="B13" t="s">
        <v>918</v>
      </c>
      <c r="D13" t="s">
        <v>145</v>
      </c>
      <c r="E13" t="s">
        <v>54</v>
      </c>
    </row>
    <row r="14" spans="1:7" x14ac:dyDescent="0.3">
      <c r="A14" t="s">
        <v>2450</v>
      </c>
      <c r="B14" t="s">
        <v>2464</v>
      </c>
      <c r="D14" t="s">
        <v>82</v>
      </c>
      <c r="E14" t="s">
        <v>54</v>
      </c>
    </row>
    <row r="15" spans="1:7" x14ac:dyDescent="0.3">
      <c r="A15" t="s">
        <v>1029</v>
      </c>
      <c r="B15" t="s">
        <v>406</v>
      </c>
      <c r="D15" t="s">
        <v>741</v>
      </c>
      <c r="E15" t="s">
        <v>54</v>
      </c>
    </row>
    <row r="16" spans="1:7" x14ac:dyDescent="0.3">
      <c r="A16" t="s">
        <v>2456</v>
      </c>
      <c r="B16" t="s">
        <v>406</v>
      </c>
      <c r="D16" t="s">
        <v>53</v>
      </c>
      <c r="E16" t="s">
        <v>54</v>
      </c>
    </row>
    <row r="17" spans="1:5" x14ac:dyDescent="0.3">
      <c r="A17" t="s">
        <v>2447</v>
      </c>
      <c r="B17" t="s">
        <v>156</v>
      </c>
      <c r="D17" t="s">
        <v>2464</v>
      </c>
      <c r="E17" t="s">
        <v>54</v>
      </c>
    </row>
    <row r="18" spans="1:5" x14ac:dyDescent="0.3">
      <c r="A18" t="s">
        <v>2375</v>
      </c>
      <c r="B18" t="s">
        <v>2466</v>
      </c>
      <c r="D18" t="s">
        <v>221</v>
      </c>
      <c r="E18" t="s">
        <v>54</v>
      </c>
    </row>
    <row r="19" spans="1:5" x14ac:dyDescent="0.3">
      <c r="A19" t="s">
        <v>1298</v>
      </c>
      <c r="B19" t="s">
        <v>2396</v>
      </c>
      <c r="D19" t="s">
        <v>190</v>
      </c>
      <c r="E19" t="s">
        <v>54</v>
      </c>
    </row>
    <row r="20" spans="1:5" x14ac:dyDescent="0.3">
      <c r="A20" t="s">
        <v>2396</v>
      </c>
      <c r="B20" t="s">
        <v>2396</v>
      </c>
      <c r="D20" t="s">
        <v>406</v>
      </c>
      <c r="E20" t="s">
        <v>54</v>
      </c>
    </row>
    <row r="21" spans="1:5" x14ac:dyDescent="0.3">
      <c r="A21" t="s">
        <v>805</v>
      </c>
      <c r="B21" t="s">
        <v>806</v>
      </c>
      <c r="D21" t="s">
        <v>390</v>
      </c>
      <c r="E21" t="s">
        <v>54</v>
      </c>
    </row>
    <row r="22" spans="1:5" x14ac:dyDescent="0.3">
      <c r="A22" t="s">
        <v>25</v>
      </c>
      <c r="B22" t="s">
        <v>933</v>
      </c>
      <c r="D22" t="s">
        <v>383</v>
      </c>
      <c r="E22" t="s">
        <v>54</v>
      </c>
    </row>
    <row r="23" spans="1:5" x14ac:dyDescent="0.3">
      <c r="A23" t="s">
        <v>2458</v>
      </c>
      <c r="B23" t="s">
        <v>882</v>
      </c>
      <c r="D23" t="s">
        <v>2471</v>
      </c>
      <c r="E23" t="s">
        <v>54</v>
      </c>
    </row>
    <row r="24" spans="1:5" x14ac:dyDescent="0.3">
      <c r="A24" t="s">
        <v>2413</v>
      </c>
      <c r="B24" t="s">
        <v>82</v>
      </c>
      <c r="D24" t="s">
        <v>237</v>
      </c>
      <c r="E24" t="s">
        <v>98</v>
      </c>
    </row>
    <row r="25" spans="1:5" x14ac:dyDescent="0.3">
      <c r="A25" t="s">
        <v>2508</v>
      </c>
      <c r="B25" t="s">
        <v>82</v>
      </c>
      <c r="D25" t="s">
        <v>781</v>
      </c>
      <c r="E25" t="s">
        <v>98</v>
      </c>
    </row>
    <row r="26" spans="1:5" x14ac:dyDescent="0.3">
      <c r="A26" t="s">
        <v>2509</v>
      </c>
      <c r="B26" t="s">
        <v>406</v>
      </c>
      <c r="D26" t="s">
        <v>1121</v>
      </c>
      <c r="E26" t="s">
        <v>98</v>
      </c>
    </row>
    <row r="27" spans="1:5" x14ac:dyDescent="0.3">
      <c r="A27" t="s">
        <v>2510</v>
      </c>
      <c r="B27" t="s">
        <v>406</v>
      </c>
      <c r="D27" t="s">
        <v>105</v>
      </c>
      <c r="E27" t="s">
        <v>98</v>
      </c>
    </row>
    <row r="28" spans="1:5" x14ac:dyDescent="0.3">
      <c r="A28" t="s">
        <v>2511</v>
      </c>
      <c r="B28" t="s">
        <v>406</v>
      </c>
      <c r="D28" t="s">
        <v>97</v>
      </c>
      <c r="E28" t="s">
        <v>98</v>
      </c>
    </row>
    <row r="29" spans="1:5" x14ac:dyDescent="0.3">
      <c r="A29" t="s">
        <v>2446</v>
      </c>
      <c r="B29" t="s">
        <v>156</v>
      </c>
      <c r="D29" t="s">
        <v>685</v>
      </c>
      <c r="E29" t="s">
        <v>98</v>
      </c>
    </row>
    <row r="30" spans="1:5" x14ac:dyDescent="0.3">
      <c r="A30" t="s">
        <v>1011</v>
      </c>
      <c r="B30" t="s">
        <v>990</v>
      </c>
      <c r="D30" t="s">
        <v>118</v>
      </c>
      <c r="E30" t="s">
        <v>98</v>
      </c>
    </row>
    <row r="31" spans="1:5" x14ac:dyDescent="0.3">
      <c r="A31" t="s">
        <v>2397</v>
      </c>
      <c r="B31" t="s">
        <v>2396</v>
      </c>
      <c r="D31" t="s">
        <v>918</v>
      </c>
      <c r="E31" t="s">
        <v>98</v>
      </c>
    </row>
    <row r="32" spans="1:5" x14ac:dyDescent="0.3">
      <c r="A32" t="s">
        <v>851</v>
      </c>
      <c r="B32" t="s">
        <v>2396</v>
      </c>
      <c r="D32" t="s">
        <v>156</v>
      </c>
      <c r="E32" t="s">
        <v>157</v>
      </c>
    </row>
    <row r="33" spans="1:5" x14ac:dyDescent="0.3">
      <c r="A33" t="s">
        <v>823</v>
      </c>
      <c r="B33" t="s">
        <v>823</v>
      </c>
      <c r="D33" t="s">
        <v>2516</v>
      </c>
      <c r="E33" t="s">
        <v>157</v>
      </c>
    </row>
    <row r="34" spans="1:5" x14ac:dyDescent="0.3">
      <c r="A34" t="s">
        <v>2512</v>
      </c>
      <c r="B34" t="s">
        <v>997</v>
      </c>
      <c r="D34" t="s">
        <v>2400</v>
      </c>
      <c r="E34" t="s">
        <v>157</v>
      </c>
    </row>
    <row r="35" spans="1:5" x14ac:dyDescent="0.3">
      <c r="A35" t="s">
        <v>2387</v>
      </c>
      <c r="B35" t="s">
        <v>75</v>
      </c>
      <c r="D35" t="s">
        <v>2466</v>
      </c>
      <c r="E35" t="s">
        <v>157</v>
      </c>
    </row>
    <row r="36" spans="1:5" x14ac:dyDescent="0.3">
      <c r="A36" t="s">
        <v>2460</v>
      </c>
      <c r="B36" t="s">
        <v>781</v>
      </c>
      <c r="D36" t="s">
        <v>1015</v>
      </c>
      <c r="E36" t="s">
        <v>157</v>
      </c>
    </row>
    <row r="37" spans="1:5" x14ac:dyDescent="0.3">
      <c r="A37" t="s">
        <v>780</v>
      </c>
      <c r="B37" t="s">
        <v>781</v>
      </c>
      <c r="D37" t="s">
        <v>2396</v>
      </c>
      <c r="E37" t="s">
        <v>157</v>
      </c>
    </row>
    <row r="38" spans="1:5" x14ac:dyDescent="0.3">
      <c r="A38" t="s">
        <v>2389</v>
      </c>
      <c r="B38" t="s">
        <v>1121</v>
      </c>
      <c r="D38" t="s">
        <v>208</v>
      </c>
      <c r="E38" t="s">
        <v>157</v>
      </c>
    </row>
    <row r="39" spans="1:5" x14ac:dyDescent="0.3">
      <c r="A39" t="s">
        <v>2414</v>
      </c>
      <c r="B39" t="s">
        <v>82</v>
      </c>
      <c r="D39" t="s">
        <v>1105</v>
      </c>
      <c r="E39" t="s">
        <v>157</v>
      </c>
    </row>
    <row r="40" spans="1:5" x14ac:dyDescent="0.3">
      <c r="A40" t="s">
        <v>2416</v>
      </c>
      <c r="B40" t="s">
        <v>82</v>
      </c>
      <c r="D40" t="s">
        <v>177</v>
      </c>
      <c r="E40" t="s">
        <v>157</v>
      </c>
    </row>
    <row r="41" spans="1:5" x14ac:dyDescent="0.3">
      <c r="A41" t="s">
        <v>2370</v>
      </c>
      <c r="B41" t="s">
        <v>53</v>
      </c>
      <c r="D41" t="s">
        <v>1095</v>
      </c>
      <c r="E41" t="s">
        <v>157</v>
      </c>
    </row>
    <row r="42" spans="1:5" x14ac:dyDescent="0.3">
      <c r="A42" t="s">
        <v>2068</v>
      </c>
      <c r="B42" t="s">
        <v>390</v>
      </c>
      <c r="D42" t="s">
        <v>2472</v>
      </c>
      <c r="E42" t="s">
        <v>157</v>
      </c>
    </row>
    <row r="43" spans="1:5" x14ac:dyDescent="0.3">
      <c r="A43" t="s">
        <v>774</v>
      </c>
      <c r="B43" t="s">
        <v>383</v>
      </c>
      <c r="D43" t="s">
        <v>137</v>
      </c>
      <c r="E43" t="s">
        <v>138</v>
      </c>
    </row>
    <row r="44" spans="1:5" x14ac:dyDescent="0.3">
      <c r="A44" t="s">
        <v>2317</v>
      </c>
      <c r="B44" t="s">
        <v>383</v>
      </c>
      <c r="D44" t="s">
        <v>1075</v>
      </c>
      <c r="E44" t="s">
        <v>138</v>
      </c>
    </row>
    <row r="45" spans="1:5" x14ac:dyDescent="0.3">
      <c r="A45" t="s">
        <v>2044</v>
      </c>
      <c r="B45" t="s">
        <v>406</v>
      </c>
      <c r="D45" t="s">
        <v>2473</v>
      </c>
      <c r="E45" t="s">
        <v>138</v>
      </c>
    </row>
    <row r="46" spans="1:5" x14ac:dyDescent="0.3">
      <c r="A46" t="s">
        <v>1168</v>
      </c>
      <c r="B46" t="s">
        <v>406</v>
      </c>
      <c r="D46" t="s">
        <v>2474</v>
      </c>
      <c r="E46" t="s">
        <v>138</v>
      </c>
    </row>
    <row r="47" spans="1:5" x14ac:dyDescent="0.3">
      <c r="A47" t="s">
        <v>1438</v>
      </c>
      <c r="B47" t="s">
        <v>406</v>
      </c>
      <c r="D47" t="s">
        <v>184</v>
      </c>
      <c r="E47" t="s">
        <v>2475</v>
      </c>
    </row>
    <row r="48" spans="1:5" x14ac:dyDescent="0.3">
      <c r="A48" t="s">
        <v>2428</v>
      </c>
      <c r="B48" t="s">
        <v>406</v>
      </c>
      <c r="D48" t="s">
        <v>799</v>
      </c>
      <c r="E48" t="s">
        <v>2475</v>
      </c>
    </row>
    <row r="49" spans="1:5" x14ac:dyDescent="0.3">
      <c r="A49" t="s">
        <v>2434</v>
      </c>
      <c r="B49" t="s">
        <v>406</v>
      </c>
      <c r="D49" t="s">
        <v>1054</v>
      </c>
      <c r="E49" t="s">
        <v>2475</v>
      </c>
    </row>
    <row r="50" spans="1:5" x14ac:dyDescent="0.3">
      <c r="A50" t="s">
        <v>2513</v>
      </c>
      <c r="B50" t="s">
        <v>406</v>
      </c>
      <c r="D50" t="s">
        <v>806</v>
      </c>
      <c r="E50" t="s">
        <v>2475</v>
      </c>
    </row>
    <row r="51" spans="1:5" x14ac:dyDescent="0.3">
      <c r="A51" t="s">
        <v>2424</v>
      </c>
      <c r="B51" t="s">
        <v>406</v>
      </c>
      <c r="D51" t="s">
        <v>2476</v>
      </c>
      <c r="E51" t="s">
        <v>2475</v>
      </c>
    </row>
    <row r="52" spans="1:5" x14ac:dyDescent="0.3">
      <c r="A52" t="s">
        <v>2514</v>
      </c>
      <c r="B52" t="s">
        <v>406</v>
      </c>
      <c r="D52" t="s">
        <v>2477</v>
      </c>
      <c r="E52" t="s">
        <v>2475</v>
      </c>
    </row>
    <row r="53" spans="1:5" x14ac:dyDescent="0.3">
      <c r="A53" t="s">
        <v>2377</v>
      </c>
      <c r="B53" t="s">
        <v>156</v>
      </c>
      <c r="D53" t="s">
        <v>170</v>
      </c>
      <c r="E53" t="s">
        <v>112</v>
      </c>
    </row>
    <row r="54" spans="1:5" x14ac:dyDescent="0.3">
      <c r="A54" t="s">
        <v>2515</v>
      </c>
      <c r="B54" t="s">
        <v>2516</v>
      </c>
      <c r="D54" t="s">
        <v>111</v>
      </c>
      <c r="E54" t="s">
        <v>112</v>
      </c>
    </row>
    <row r="55" spans="1:5" x14ac:dyDescent="0.3">
      <c r="A55" t="s">
        <v>2399</v>
      </c>
      <c r="B55" t="s">
        <v>2400</v>
      </c>
      <c r="D55" t="s">
        <v>131</v>
      </c>
      <c r="E55" t="s">
        <v>112</v>
      </c>
    </row>
    <row r="56" spans="1:5" x14ac:dyDescent="0.3">
      <c r="A56" t="s">
        <v>1074</v>
      </c>
      <c r="B56" t="s">
        <v>1075</v>
      </c>
      <c r="D56" t="s">
        <v>661</v>
      </c>
      <c r="E56" t="s">
        <v>112</v>
      </c>
    </row>
    <row r="57" spans="1:5" x14ac:dyDescent="0.3">
      <c r="A57" t="s">
        <v>2394</v>
      </c>
      <c r="B57" t="s">
        <v>1095</v>
      </c>
      <c r="D57" t="s">
        <v>908</v>
      </c>
      <c r="E57" t="s">
        <v>112</v>
      </c>
    </row>
    <row r="58" spans="1:5" x14ac:dyDescent="0.3">
      <c r="A58" t="s">
        <v>799</v>
      </c>
      <c r="B58" t="s">
        <v>799</v>
      </c>
      <c r="D58" t="s">
        <v>671</v>
      </c>
      <c r="E58" t="s">
        <v>112</v>
      </c>
    </row>
    <row r="59" spans="1:5" x14ac:dyDescent="0.3">
      <c r="A59" t="s">
        <v>806</v>
      </c>
      <c r="B59" t="s">
        <v>806</v>
      </c>
      <c r="D59" t="s">
        <v>1089</v>
      </c>
      <c r="E59" t="s">
        <v>112</v>
      </c>
    </row>
    <row r="60" spans="1:5" x14ac:dyDescent="0.3">
      <c r="A60" t="s">
        <v>169</v>
      </c>
      <c r="B60" t="s">
        <v>170</v>
      </c>
      <c r="D60" t="s">
        <v>823</v>
      </c>
      <c r="E60" t="s">
        <v>112</v>
      </c>
    </row>
    <row r="61" spans="1:5" x14ac:dyDescent="0.3">
      <c r="A61" t="s">
        <v>2452</v>
      </c>
      <c r="B61" t="s">
        <v>170</v>
      </c>
      <c r="D61" t="s">
        <v>2465</v>
      </c>
      <c r="E61" t="s">
        <v>112</v>
      </c>
    </row>
    <row r="62" spans="1:5" x14ac:dyDescent="0.3">
      <c r="A62" t="s">
        <v>2517</v>
      </c>
      <c r="B62" t="s">
        <v>111</v>
      </c>
      <c r="D62" t="s">
        <v>2463</v>
      </c>
      <c r="E62" t="s">
        <v>112</v>
      </c>
    </row>
    <row r="63" spans="1:5" x14ac:dyDescent="0.3">
      <c r="A63" t="s">
        <v>2518</v>
      </c>
      <c r="B63" t="s">
        <v>131</v>
      </c>
      <c r="D63" t="s">
        <v>2469</v>
      </c>
      <c r="E63" t="s">
        <v>112</v>
      </c>
    </row>
    <row r="64" spans="1:5" x14ac:dyDescent="0.3">
      <c r="A64" t="s">
        <v>996</v>
      </c>
      <c r="B64" t="s">
        <v>997</v>
      </c>
      <c r="D64" t="s">
        <v>2467</v>
      </c>
      <c r="E64" t="s">
        <v>112</v>
      </c>
    </row>
    <row r="65" spans="1:5" x14ac:dyDescent="0.3">
      <c r="A65" t="s">
        <v>2519</v>
      </c>
      <c r="B65" t="s">
        <v>124</v>
      </c>
      <c r="D65" t="s">
        <v>2468</v>
      </c>
      <c r="E65" t="s">
        <v>112</v>
      </c>
    </row>
    <row r="66" spans="1:5" x14ac:dyDescent="0.3">
      <c r="A66" t="s">
        <v>2383</v>
      </c>
      <c r="B66" t="s">
        <v>701</v>
      </c>
      <c r="D66" t="s">
        <v>2470</v>
      </c>
      <c r="E66" t="s">
        <v>112</v>
      </c>
    </row>
    <row r="67" spans="1:5" x14ac:dyDescent="0.3">
      <c r="A67" t="s">
        <v>2440</v>
      </c>
      <c r="B67" t="s">
        <v>701</v>
      </c>
    </row>
    <row r="68" spans="1:5" x14ac:dyDescent="0.3">
      <c r="A68" t="s">
        <v>2364</v>
      </c>
      <c r="B68" t="s">
        <v>75</v>
      </c>
    </row>
    <row r="69" spans="1:5" x14ac:dyDescent="0.3">
      <c r="A69" t="s">
        <v>2438</v>
      </c>
      <c r="B69" t="s">
        <v>75</v>
      </c>
    </row>
    <row r="70" spans="1:5" x14ac:dyDescent="0.3">
      <c r="A70" t="s">
        <v>2435</v>
      </c>
      <c r="B70" t="s">
        <v>145</v>
      </c>
    </row>
    <row r="71" spans="1:5" x14ac:dyDescent="0.3">
      <c r="A71" t="s">
        <v>145</v>
      </c>
      <c r="B71" t="s">
        <v>145</v>
      </c>
    </row>
    <row r="72" spans="1:5" x14ac:dyDescent="0.3">
      <c r="A72" t="s">
        <v>97</v>
      </c>
      <c r="B72" t="s">
        <v>97</v>
      </c>
    </row>
    <row r="73" spans="1:5" x14ac:dyDescent="0.3">
      <c r="A73" t="s">
        <v>2406</v>
      </c>
      <c r="B73" t="s">
        <v>685</v>
      </c>
    </row>
    <row r="74" spans="1:5" x14ac:dyDescent="0.3">
      <c r="A74" t="s">
        <v>2520</v>
      </c>
      <c r="B74" t="s">
        <v>685</v>
      </c>
    </row>
    <row r="75" spans="1:5" x14ac:dyDescent="0.3">
      <c r="A75" t="s">
        <v>2521</v>
      </c>
      <c r="B75" t="s">
        <v>118</v>
      </c>
    </row>
    <row r="76" spans="1:5" x14ac:dyDescent="0.3">
      <c r="A76" t="s">
        <v>2522</v>
      </c>
      <c r="B76" t="s">
        <v>82</v>
      </c>
    </row>
    <row r="77" spans="1:5" x14ac:dyDescent="0.3">
      <c r="A77" t="s">
        <v>2385</v>
      </c>
      <c r="B77" t="s">
        <v>82</v>
      </c>
    </row>
    <row r="78" spans="1:5" x14ac:dyDescent="0.3">
      <c r="A78" t="s">
        <v>746</v>
      </c>
      <c r="B78" t="s">
        <v>82</v>
      </c>
    </row>
    <row r="79" spans="1:5" x14ac:dyDescent="0.3">
      <c r="A79" t="s">
        <v>976</v>
      </c>
      <c r="B79" t="s">
        <v>82</v>
      </c>
    </row>
    <row r="80" spans="1:5" x14ac:dyDescent="0.3">
      <c r="A80" t="s">
        <v>948</v>
      </c>
      <c r="B80" t="s">
        <v>82</v>
      </c>
    </row>
    <row r="81" spans="1:2" x14ac:dyDescent="0.3">
      <c r="A81" t="s">
        <v>741</v>
      </c>
      <c r="B81" t="s">
        <v>741</v>
      </c>
    </row>
    <row r="82" spans="1:2" x14ac:dyDescent="0.3">
      <c r="A82" t="s">
        <v>2417</v>
      </c>
      <c r="B82" t="s">
        <v>2464</v>
      </c>
    </row>
    <row r="83" spans="1:2" x14ac:dyDescent="0.3">
      <c r="A83" t="s">
        <v>2523</v>
      </c>
      <c r="B83" t="s">
        <v>2464</v>
      </c>
    </row>
    <row r="84" spans="1:2" x14ac:dyDescent="0.3">
      <c r="A84" t="s">
        <v>2420</v>
      </c>
      <c r="B84" t="s">
        <v>2464</v>
      </c>
    </row>
    <row r="85" spans="1:2" x14ac:dyDescent="0.3">
      <c r="A85" t="s">
        <v>59</v>
      </c>
      <c r="B85" t="s">
        <v>221</v>
      </c>
    </row>
    <row r="86" spans="1:2" x14ac:dyDescent="0.3">
      <c r="A86" t="s">
        <v>2449</v>
      </c>
      <c r="B86" t="s">
        <v>221</v>
      </c>
    </row>
    <row r="87" spans="1:2" x14ac:dyDescent="0.3">
      <c r="A87" t="s">
        <v>2425</v>
      </c>
      <c r="B87" t="s">
        <v>390</v>
      </c>
    </row>
    <row r="88" spans="1:2" x14ac:dyDescent="0.3">
      <c r="A88" t="s">
        <v>2426</v>
      </c>
      <c r="B88" t="s">
        <v>390</v>
      </c>
    </row>
    <row r="89" spans="1:2" x14ac:dyDescent="0.3">
      <c r="A89" t="s">
        <v>1442</v>
      </c>
      <c r="B89" t="s">
        <v>390</v>
      </c>
    </row>
    <row r="90" spans="1:2" x14ac:dyDescent="0.3">
      <c r="A90" t="s">
        <v>383</v>
      </c>
      <c r="B90" t="s">
        <v>383</v>
      </c>
    </row>
    <row r="91" spans="1:2" x14ac:dyDescent="0.3">
      <c r="A91" t="s">
        <v>1020</v>
      </c>
      <c r="B91" t="s">
        <v>406</v>
      </c>
    </row>
    <row r="92" spans="1:2" x14ac:dyDescent="0.3">
      <c r="A92" t="s">
        <v>2524</v>
      </c>
      <c r="B92" t="s">
        <v>406</v>
      </c>
    </row>
    <row r="93" spans="1:2" x14ac:dyDescent="0.3">
      <c r="A93" t="s">
        <v>2525</v>
      </c>
      <c r="B93" t="s">
        <v>406</v>
      </c>
    </row>
    <row r="94" spans="1:2" x14ac:dyDescent="0.3">
      <c r="A94" t="s">
        <v>406</v>
      </c>
      <c r="B94" t="s">
        <v>406</v>
      </c>
    </row>
    <row r="95" spans="1:2" x14ac:dyDescent="0.3">
      <c r="A95" t="s">
        <v>2526</v>
      </c>
      <c r="B95" t="s">
        <v>156</v>
      </c>
    </row>
    <row r="96" spans="1:2" x14ac:dyDescent="0.3">
      <c r="A96" t="s">
        <v>156</v>
      </c>
      <c r="B96" t="s">
        <v>156</v>
      </c>
    </row>
    <row r="97" spans="1:2" x14ac:dyDescent="0.3">
      <c r="A97" t="s">
        <v>2401</v>
      </c>
      <c r="B97" t="s">
        <v>2400</v>
      </c>
    </row>
    <row r="98" spans="1:2" x14ac:dyDescent="0.3">
      <c r="A98" t="s">
        <v>2367</v>
      </c>
      <c r="B98" t="s">
        <v>208</v>
      </c>
    </row>
    <row r="99" spans="1:2" x14ac:dyDescent="0.3">
      <c r="A99" t="s">
        <v>1110</v>
      </c>
      <c r="B99" t="s">
        <v>208</v>
      </c>
    </row>
    <row r="100" spans="1:2" x14ac:dyDescent="0.3">
      <c r="A100" t="s">
        <v>2381</v>
      </c>
      <c r="B100" t="s">
        <v>208</v>
      </c>
    </row>
    <row r="101" spans="1:2" x14ac:dyDescent="0.3">
      <c r="A101" t="s">
        <v>2453</v>
      </c>
      <c r="B101" t="s">
        <v>208</v>
      </c>
    </row>
    <row r="102" spans="1:2" x14ac:dyDescent="0.3">
      <c r="A102" t="s">
        <v>2382</v>
      </c>
      <c r="B102" t="s">
        <v>208</v>
      </c>
    </row>
    <row r="103" spans="1:2" x14ac:dyDescent="0.3">
      <c r="A103" t="s">
        <v>2361</v>
      </c>
      <c r="B103" t="s">
        <v>177</v>
      </c>
    </row>
    <row r="104" spans="1:2" x14ac:dyDescent="0.3">
      <c r="A104" t="s">
        <v>1100</v>
      </c>
      <c r="B104" t="s">
        <v>1095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2362</v>
      </c>
      <c r="B106" t="s">
        <v>184</v>
      </c>
    </row>
    <row r="107" spans="1:2" x14ac:dyDescent="0.3">
      <c r="A107" t="s">
        <v>815</v>
      </c>
      <c r="B107" t="s">
        <v>184</v>
      </c>
    </row>
    <row r="108" spans="1:2" x14ac:dyDescent="0.3">
      <c r="A108" t="s">
        <v>1603</v>
      </c>
      <c r="B108" t="s">
        <v>799</v>
      </c>
    </row>
    <row r="109" spans="1:2" x14ac:dyDescent="0.3">
      <c r="A109" t="s">
        <v>2527</v>
      </c>
      <c r="B109" t="s">
        <v>170</v>
      </c>
    </row>
    <row r="110" spans="1:2" x14ac:dyDescent="0.3">
      <c r="A110" t="s">
        <v>2365</v>
      </c>
      <c r="B110" t="s">
        <v>131</v>
      </c>
    </row>
    <row r="111" spans="1:2" x14ac:dyDescent="0.3">
      <c r="A111" t="s">
        <v>2528</v>
      </c>
      <c r="B111" t="s">
        <v>131</v>
      </c>
    </row>
    <row r="112" spans="1:2" x14ac:dyDescent="0.3">
      <c r="A112" t="s">
        <v>2391</v>
      </c>
      <c r="B112" t="s">
        <v>661</v>
      </c>
    </row>
    <row r="113" spans="1:2" x14ac:dyDescent="0.3">
      <c r="A113" t="s">
        <v>908</v>
      </c>
      <c r="B113" t="s">
        <v>908</v>
      </c>
    </row>
    <row r="114" spans="1:2" x14ac:dyDescent="0.3">
      <c r="A114" t="s">
        <v>2392</v>
      </c>
      <c r="B114" t="s">
        <v>671</v>
      </c>
    </row>
    <row r="115" spans="1:2" x14ac:dyDescent="0.3">
      <c r="A115" t="s">
        <v>953</v>
      </c>
      <c r="B115" t="s">
        <v>2465</v>
      </c>
    </row>
    <row r="116" spans="1:2" x14ac:dyDescent="0.3">
      <c r="A116" t="s">
        <v>2455</v>
      </c>
      <c r="B116" t="s">
        <v>933</v>
      </c>
    </row>
    <row r="117" spans="1:2" x14ac:dyDescent="0.3">
      <c r="A117" t="s">
        <v>2529</v>
      </c>
      <c r="B117" t="s">
        <v>124</v>
      </c>
    </row>
    <row r="118" spans="1:2" x14ac:dyDescent="0.3">
      <c r="A118" t="s">
        <v>892</v>
      </c>
      <c r="B118" t="s">
        <v>701</v>
      </c>
    </row>
    <row r="119" spans="1:2" x14ac:dyDescent="0.3">
      <c r="A119" t="s">
        <v>1950</v>
      </c>
      <c r="B119" t="s">
        <v>701</v>
      </c>
    </row>
    <row r="120" spans="1:2" x14ac:dyDescent="0.3">
      <c r="A120" t="s">
        <v>48</v>
      </c>
      <c r="B120" t="s">
        <v>701</v>
      </c>
    </row>
    <row r="121" spans="1:2" x14ac:dyDescent="0.3">
      <c r="A121" t="s">
        <v>2388</v>
      </c>
      <c r="B121" t="s">
        <v>75</v>
      </c>
    </row>
    <row r="122" spans="1:2" x14ac:dyDescent="0.3">
      <c r="A122" t="s">
        <v>2530</v>
      </c>
      <c r="B122" t="s">
        <v>75</v>
      </c>
    </row>
    <row r="123" spans="1:2" x14ac:dyDescent="0.3">
      <c r="A123" t="s">
        <v>43</v>
      </c>
      <c r="B123" t="s">
        <v>75</v>
      </c>
    </row>
    <row r="124" spans="1:2" x14ac:dyDescent="0.3">
      <c r="A124" t="s">
        <v>2436</v>
      </c>
      <c r="B124" t="s">
        <v>145</v>
      </c>
    </row>
    <row r="125" spans="1:2" x14ac:dyDescent="0.3">
      <c r="A125" t="s">
        <v>2531</v>
      </c>
      <c r="B125" t="s">
        <v>145</v>
      </c>
    </row>
    <row r="126" spans="1:2" x14ac:dyDescent="0.3">
      <c r="A126" t="s">
        <v>2448</v>
      </c>
      <c r="B126" t="s">
        <v>145</v>
      </c>
    </row>
    <row r="127" spans="1:2" x14ac:dyDescent="0.3">
      <c r="A127" t="s">
        <v>1121</v>
      </c>
      <c r="B127" t="s">
        <v>1121</v>
      </c>
    </row>
    <row r="128" spans="1:2" x14ac:dyDescent="0.3">
      <c r="A128" t="s">
        <v>2405</v>
      </c>
      <c r="B128" t="s">
        <v>105</v>
      </c>
    </row>
    <row r="129" spans="1:2" x14ac:dyDescent="0.3">
      <c r="A129" t="s">
        <v>1182</v>
      </c>
      <c r="B129" t="s">
        <v>97</v>
      </c>
    </row>
    <row r="130" spans="1:2" x14ac:dyDescent="0.3">
      <c r="A130" t="s">
        <v>2368</v>
      </c>
      <c r="B130" t="s">
        <v>97</v>
      </c>
    </row>
    <row r="131" spans="1:2" x14ac:dyDescent="0.3">
      <c r="A131" t="s">
        <v>2360</v>
      </c>
      <c r="B131" t="s">
        <v>685</v>
      </c>
    </row>
    <row r="132" spans="1:2" x14ac:dyDescent="0.3">
      <c r="A132" t="s">
        <v>685</v>
      </c>
      <c r="B132" t="s">
        <v>685</v>
      </c>
    </row>
    <row r="133" spans="1:2" x14ac:dyDescent="0.3">
      <c r="A133" t="s">
        <v>917</v>
      </c>
      <c r="B133" t="s">
        <v>918</v>
      </c>
    </row>
    <row r="134" spans="1:2" x14ac:dyDescent="0.3">
      <c r="A134" t="s">
        <v>1126</v>
      </c>
      <c r="B134" t="s">
        <v>918</v>
      </c>
    </row>
    <row r="135" spans="1:2" x14ac:dyDescent="0.3">
      <c r="A135" t="s">
        <v>2463</v>
      </c>
      <c r="B135" t="s">
        <v>2463</v>
      </c>
    </row>
    <row r="136" spans="1:2" x14ac:dyDescent="0.3">
      <c r="A136" t="s">
        <v>2386</v>
      </c>
      <c r="B136" t="s">
        <v>82</v>
      </c>
    </row>
    <row r="137" spans="1:2" x14ac:dyDescent="0.3">
      <c r="A137" t="s">
        <v>2415</v>
      </c>
      <c r="B137" t="s">
        <v>82</v>
      </c>
    </row>
    <row r="138" spans="1:2" x14ac:dyDescent="0.3">
      <c r="A138" t="s">
        <v>82</v>
      </c>
      <c r="B138" t="s">
        <v>82</v>
      </c>
    </row>
    <row r="139" spans="1:2" x14ac:dyDescent="0.3">
      <c r="A139" t="s">
        <v>740</v>
      </c>
      <c r="B139" t="s">
        <v>741</v>
      </c>
    </row>
    <row r="140" spans="1:2" x14ac:dyDescent="0.3">
      <c r="A140" t="s">
        <v>958</v>
      </c>
      <c r="B140" t="s">
        <v>53</v>
      </c>
    </row>
    <row r="141" spans="1:2" x14ac:dyDescent="0.3">
      <c r="A141" t="s">
        <v>2418</v>
      </c>
      <c r="B141" t="s">
        <v>2464</v>
      </c>
    </row>
    <row r="142" spans="1:2" x14ac:dyDescent="0.3">
      <c r="A142" t="s">
        <v>723</v>
      </c>
      <c r="B142" t="s">
        <v>190</v>
      </c>
    </row>
    <row r="143" spans="1:2" x14ac:dyDescent="0.3">
      <c r="A143" t="s">
        <v>2532</v>
      </c>
      <c r="B143" t="s">
        <v>190</v>
      </c>
    </row>
    <row r="144" spans="1:2" x14ac:dyDescent="0.3">
      <c r="A144" t="s">
        <v>2432</v>
      </c>
      <c r="B144" t="s">
        <v>390</v>
      </c>
    </row>
    <row r="145" spans="1:2" x14ac:dyDescent="0.3">
      <c r="A145" t="s">
        <v>862</v>
      </c>
      <c r="B145" t="s">
        <v>390</v>
      </c>
    </row>
    <row r="146" spans="1:2" x14ac:dyDescent="0.3">
      <c r="A146" t="s">
        <v>768</v>
      </c>
      <c r="B146" t="s">
        <v>390</v>
      </c>
    </row>
    <row r="147" spans="1:2" x14ac:dyDescent="0.3">
      <c r="A147" t="s">
        <v>390</v>
      </c>
      <c r="B147" t="s">
        <v>390</v>
      </c>
    </row>
    <row r="148" spans="1:2" x14ac:dyDescent="0.3">
      <c r="A148" t="s">
        <v>2533</v>
      </c>
      <c r="B148" t="s">
        <v>406</v>
      </c>
    </row>
    <row r="149" spans="1:2" x14ac:dyDescent="0.3">
      <c r="A149" t="s">
        <v>1115</v>
      </c>
      <c r="B149" t="s">
        <v>156</v>
      </c>
    </row>
    <row r="150" spans="1:2" x14ac:dyDescent="0.3">
      <c r="A150" t="s">
        <v>980</v>
      </c>
      <c r="B150" t="s">
        <v>990</v>
      </c>
    </row>
    <row r="151" spans="1:2" x14ac:dyDescent="0.3">
      <c r="A151" t="s">
        <v>1460</v>
      </c>
      <c r="B151" t="s">
        <v>990</v>
      </c>
    </row>
    <row r="152" spans="1:2" x14ac:dyDescent="0.3">
      <c r="A152" t="s">
        <v>2380</v>
      </c>
      <c r="B152" t="s">
        <v>990</v>
      </c>
    </row>
    <row r="153" spans="1:2" x14ac:dyDescent="0.3">
      <c r="A153" t="s">
        <v>990</v>
      </c>
      <c r="B153" t="s">
        <v>990</v>
      </c>
    </row>
    <row r="154" spans="1:2" x14ac:dyDescent="0.3">
      <c r="A154" t="s">
        <v>2534</v>
      </c>
      <c r="B154" t="s">
        <v>2400</v>
      </c>
    </row>
    <row r="155" spans="1:2" x14ac:dyDescent="0.3">
      <c r="A155" t="s">
        <v>2398</v>
      </c>
      <c r="B155" t="s">
        <v>2396</v>
      </c>
    </row>
    <row r="156" spans="1:2" x14ac:dyDescent="0.3">
      <c r="A156" t="s">
        <v>249</v>
      </c>
      <c r="B156" t="s">
        <v>208</v>
      </c>
    </row>
    <row r="157" spans="1:2" x14ac:dyDescent="0.3">
      <c r="A157" t="s">
        <v>2535</v>
      </c>
      <c r="B157" t="s">
        <v>1105</v>
      </c>
    </row>
    <row r="158" spans="1:2" x14ac:dyDescent="0.3">
      <c r="A158" t="s">
        <v>176</v>
      </c>
      <c r="B158" t="s">
        <v>177</v>
      </c>
    </row>
    <row r="159" spans="1:2" x14ac:dyDescent="0.3">
      <c r="A159" t="s">
        <v>1002</v>
      </c>
      <c r="B159" t="s">
        <v>177</v>
      </c>
    </row>
    <row r="160" spans="1:2" x14ac:dyDescent="0.3">
      <c r="A160" t="s">
        <v>2444</v>
      </c>
      <c r="B160" t="s">
        <v>137</v>
      </c>
    </row>
    <row r="161" spans="1:2" x14ac:dyDescent="0.3">
      <c r="A161" t="s">
        <v>1152</v>
      </c>
      <c r="B161" t="s">
        <v>184</v>
      </c>
    </row>
    <row r="162" spans="1:2" x14ac:dyDescent="0.3">
      <c r="A162" t="s">
        <v>2408</v>
      </c>
      <c r="B162" t="s">
        <v>170</v>
      </c>
    </row>
    <row r="163" spans="1:2" x14ac:dyDescent="0.3">
      <c r="A163" t="s">
        <v>2536</v>
      </c>
      <c r="B163" t="s">
        <v>170</v>
      </c>
    </row>
    <row r="164" spans="1:2" x14ac:dyDescent="0.3">
      <c r="A164" t="s">
        <v>2366</v>
      </c>
      <c r="B164" t="s">
        <v>131</v>
      </c>
    </row>
    <row r="165" spans="1:2" x14ac:dyDescent="0.3">
      <c r="A165" t="s">
        <v>2393</v>
      </c>
      <c r="B165" t="s">
        <v>671</v>
      </c>
    </row>
    <row r="166" spans="1:2" x14ac:dyDescent="0.3">
      <c r="A166" t="s">
        <v>671</v>
      </c>
      <c r="B166" t="s">
        <v>671</v>
      </c>
    </row>
    <row r="167" spans="1:2" x14ac:dyDescent="0.3">
      <c r="A167" t="s">
        <v>822</v>
      </c>
      <c r="B167" t="s">
        <v>823</v>
      </c>
    </row>
    <row r="168" spans="1:2" x14ac:dyDescent="0.3">
      <c r="A168" t="s">
        <v>2371</v>
      </c>
      <c r="B168" t="s">
        <v>933</v>
      </c>
    </row>
    <row r="169" spans="1:2" x14ac:dyDescent="0.3">
      <c r="A169" t="s">
        <v>933</v>
      </c>
      <c r="B169" t="s">
        <v>933</v>
      </c>
    </row>
    <row r="170" spans="1:2" x14ac:dyDescent="0.3">
      <c r="A170" t="s">
        <v>997</v>
      </c>
      <c r="B170" t="s">
        <v>997</v>
      </c>
    </row>
    <row r="171" spans="1:2" x14ac:dyDescent="0.3">
      <c r="A171" t="s">
        <v>834</v>
      </c>
      <c r="B171" t="s">
        <v>124</v>
      </c>
    </row>
    <row r="172" spans="1:2" x14ac:dyDescent="0.3">
      <c r="A172" t="s">
        <v>2537</v>
      </c>
      <c r="B172" t="s">
        <v>124</v>
      </c>
    </row>
    <row r="173" spans="1:2" x14ac:dyDescent="0.3">
      <c r="A173" t="s">
        <v>882</v>
      </c>
      <c r="B173" t="s">
        <v>882</v>
      </c>
    </row>
    <row r="174" spans="1:2" x14ac:dyDescent="0.3">
      <c r="A174" t="s">
        <v>1006</v>
      </c>
      <c r="B174" t="s">
        <v>1006</v>
      </c>
    </row>
    <row r="175" spans="1:2" x14ac:dyDescent="0.3">
      <c r="A175" t="s">
        <v>1422</v>
      </c>
      <c r="B175" t="s">
        <v>701</v>
      </c>
    </row>
    <row r="176" spans="1:2" x14ac:dyDescent="0.3">
      <c r="A176" t="s">
        <v>2422</v>
      </c>
      <c r="B176" t="s">
        <v>701</v>
      </c>
    </row>
    <row r="177" spans="1:2" x14ac:dyDescent="0.3">
      <c r="A177" t="s">
        <v>2423</v>
      </c>
      <c r="B177" t="s">
        <v>701</v>
      </c>
    </row>
    <row r="178" spans="1:2" x14ac:dyDescent="0.3">
      <c r="A178" t="s">
        <v>701</v>
      </c>
      <c r="B178" t="s">
        <v>701</v>
      </c>
    </row>
    <row r="179" spans="1:2" x14ac:dyDescent="0.3">
      <c r="A179" t="s">
        <v>1925</v>
      </c>
      <c r="B179" t="s">
        <v>75</v>
      </c>
    </row>
    <row r="180" spans="1:2" x14ac:dyDescent="0.3">
      <c r="A180" t="s">
        <v>69</v>
      </c>
      <c r="B180" t="s">
        <v>75</v>
      </c>
    </row>
    <row r="181" spans="1:2" x14ac:dyDescent="0.3">
      <c r="A181" t="s">
        <v>75</v>
      </c>
      <c r="B181" t="s">
        <v>75</v>
      </c>
    </row>
    <row r="182" spans="1:2" x14ac:dyDescent="0.3">
      <c r="A182" t="s">
        <v>144</v>
      </c>
      <c r="B182" t="s">
        <v>145</v>
      </c>
    </row>
    <row r="183" spans="1:2" x14ac:dyDescent="0.3">
      <c r="A183" t="s">
        <v>2403</v>
      </c>
      <c r="B183" t="s">
        <v>781</v>
      </c>
    </row>
    <row r="184" spans="1:2" x14ac:dyDescent="0.3">
      <c r="A184" t="s">
        <v>2359</v>
      </c>
      <c r="B184" t="s">
        <v>237</v>
      </c>
    </row>
    <row r="185" spans="1:2" x14ac:dyDescent="0.3">
      <c r="A185" t="s">
        <v>104</v>
      </c>
      <c r="B185" t="s">
        <v>105</v>
      </c>
    </row>
    <row r="186" spans="1:2" x14ac:dyDescent="0.3">
      <c r="A186" t="s">
        <v>105</v>
      </c>
      <c r="B186" t="s">
        <v>105</v>
      </c>
    </row>
    <row r="187" spans="1:2" x14ac:dyDescent="0.3">
      <c r="A187" t="s">
        <v>2390</v>
      </c>
      <c r="B187" t="s">
        <v>685</v>
      </c>
    </row>
    <row r="188" spans="1:2" x14ac:dyDescent="0.3">
      <c r="A188" t="s">
        <v>918</v>
      </c>
      <c r="B188" t="s">
        <v>918</v>
      </c>
    </row>
    <row r="189" spans="1:2" x14ac:dyDescent="0.3">
      <c r="A189" t="s">
        <v>943</v>
      </c>
      <c r="B189" t="s">
        <v>2463</v>
      </c>
    </row>
    <row r="190" spans="1:2" x14ac:dyDescent="0.3">
      <c r="A190" t="s">
        <v>2412</v>
      </c>
      <c r="B190" t="s">
        <v>2463</v>
      </c>
    </row>
    <row r="191" spans="1:2" x14ac:dyDescent="0.3">
      <c r="A191" t="s">
        <v>81</v>
      </c>
      <c r="B191" t="s">
        <v>82</v>
      </c>
    </row>
    <row r="192" spans="1:2" x14ac:dyDescent="0.3">
      <c r="A192" t="s">
        <v>53</v>
      </c>
      <c r="B192" t="s">
        <v>53</v>
      </c>
    </row>
    <row r="193" spans="1:2" x14ac:dyDescent="0.3">
      <c r="A193" t="s">
        <v>2538</v>
      </c>
      <c r="B193" t="s">
        <v>221</v>
      </c>
    </row>
    <row r="194" spans="1:2" x14ac:dyDescent="0.3">
      <c r="A194" t="s">
        <v>190</v>
      </c>
      <c r="B194" t="s">
        <v>190</v>
      </c>
    </row>
    <row r="195" spans="1:2" x14ac:dyDescent="0.3">
      <c r="A195" t="s">
        <v>2433</v>
      </c>
      <c r="B195" t="s">
        <v>390</v>
      </c>
    </row>
    <row r="196" spans="1:2" x14ac:dyDescent="0.3">
      <c r="A196" t="s">
        <v>734</v>
      </c>
      <c r="B196" t="s">
        <v>406</v>
      </c>
    </row>
    <row r="197" spans="1:2" x14ac:dyDescent="0.3">
      <c r="A197" t="s">
        <v>1464</v>
      </c>
      <c r="B197" t="s">
        <v>406</v>
      </c>
    </row>
    <row r="198" spans="1:2" x14ac:dyDescent="0.3">
      <c r="A198" t="s">
        <v>2429</v>
      </c>
      <c r="B198" t="s">
        <v>406</v>
      </c>
    </row>
    <row r="199" spans="1:2" x14ac:dyDescent="0.3">
      <c r="A199" t="s">
        <v>2539</v>
      </c>
      <c r="B199" t="s">
        <v>406</v>
      </c>
    </row>
    <row r="200" spans="1:2" x14ac:dyDescent="0.3">
      <c r="A200" t="s">
        <v>2430</v>
      </c>
      <c r="B200" t="s">
        <v>406</v>
      </c>
    </row>
    <row r="201" spans="1:2" x14ac:dyDescent="0.3">
      <c r="A201" t="s">
        <v>226</v>
      </c>
      <c r="B201" t="s">
        <v>406</v>
      </c>
    </row>
    <row r="202" spans="1:2" x14ac:dyDescent="0.3">
      <c r="A202" t="s">
        <v>1042</v>
      </c>
      <c r="B202" t="s">
        <v>156</v>
      </c>
    </row>
    <row r="203" spans="1:2" x14ac:dyDescent="0.3">
      <c r="A203" t="s">
        <v>157</v>
      </c>
      <c r="B203" t="s">
        <v>156</v>
      </c>
    </row>
    <row r="204" spans="1:2" x14ac:dyDescent="0.3">
      <c r="A204" t="s">
        <v>2445</v>
      </c>
      <c r="B204" t="s">
        <v>156</v>
      </c>
    </row>
    <row r="205" spans="1:2" x14ac:dyDescent="0.3">
      <c r="A205" t="s">
        <v>2378</v>
      </c>
      <c r="B205" t="s">
        <v>2516</v>
      </c>
    </row>
    <row r="206" spans="1:2" x14ac:dyDescent="0.3">
      <c r="A206" t="s">
        <v>290</v>
      </c>
      <c r="B206" t="s">
        <v>208</v>
      </c>
    </row>
    <row r="207" spans="1:2" x14ac:dyDescent="0.3">
      <c r="A207" t="s">
        <v>1105</v>
      </c>
      <c r="B207" t="s">
        <v>1105</v>
      </c>
    </row>
    <row r="208" spans="1:2" x14ac:dyDescent="0.3">
      <c r="A208" t="s">
        <v>2540</v>
      </c>
      <c r="B208" t="s">
        <v>177</v>
      </c>
    </row>
    <row r="209" spans="1:2" x14ac:dyDescent="0.3">
      <c r="A209" t="s">
        <v>1094</v>
      </c>
      <c r="B209" t="s">
        <v>1095</v>
      </c>
    </row>
    <row r="210" spans="1:2" x14ac:dyDescent="0.3">
      <c r="A210" t="s">
        <v>1095</v>
      </c>
      <c r="B210" t="s">
        <v>1095</v>
      </c>
    </row>
    <row r="211" spans="1:2" x14ac:dyDescent="0.3">
      <c r="A211" t="s">
        <v>137</v>
      </c>
      <c r="B211" t="s">
        <v>137</v>
      </c>
    </row>
    <row r="212" spans="1:2" x14ac:dyDescent="0.3">
      <c r="A212" t="s">
        <v>184</v>
      </c>
      <c r="B212" t="s">
        <v>184</v>
      </c>
    </row>
    <row r="213" spans="1:2" x14ac:dyDescent="0.3">
      <c r="A213" t="s">
        <v>2541</v>
      </c>
      <c r="B213" t="s">
        <v>170</v>
      </c>
    </row>
    <row r="214" spans="1:2" x14ac:dyDescent="0.3">
      <c r="A214" t="s">
        <v>163</v>
      </c>
      <c r="B214" t="s">
        <v>111</v>
      </c>
    </row>
    <row r="215" spans="1:2" x14ac:dyDescent="0.3">
      <c r="A215" t="s">
        <v>2407</v>
      </c>
      <c r="B215" t="s">
        <v>111</v>
      </c>
    </row>
    <row r="216" spans="1:2" x14ac:dyDescent="0.3">
      <c r="A216" t="s">
        <v>111</v>
      </c>
      <c r="B216" t="s">
        <v>111</v>
      </c>
    </row>
    <row r="217" spans="1:2" x14ac:dyDescent="0.3">
      <c r="A217" t="s">
        <v>2542</v>
      </c>
      <c r="B217" t="s">
        <v>131</v>
      </c>
    </row>
    <row r="218" spans="1:2" x14ac:dyDescent="0.3">
      <c r="A218" t="s">
        <v>1089</v>
      </c>
      <c r="B218" t="s">
        <v>1089</v>
      </c>
    </row>
    <row r="219" spans="1:2" x14ac:dyDescent="0.3">
      <c r="A219" t="s">
        <v>2372</v>
      </c>
      <c r="B219" t="s">
        <v>933</v>
      </c>
    </row>
    <row r="220" spans="1:2" x14ac:dyDescent="0.3">
      <c r="A220" t="s">
        <v>2194</v>
      </c>
      <c r="B220" t="s">
        <v>2194</v>
      </c>
    </row>
    <row r="221" spans="1:2" x14ac:dyDescent="0.3">
      <c r="A221" t="s">
        <v>2543</v>
      </c>
      <c r="B221" t="s">
        <v>124</v>
      </c>
    </row>
    <row r="222" spans="1:2" x14ac:dyDescent="0.3">
      <c r="A222" t="s">
        <v>2544</v>
      </c>
      <c r="B222" t="s">
        <v>124</v>
      </c>
    </row>
    <row r="223" spans="1:2" x14ac:dyDescent="0.3">
      <c r="A223" t="s">
        <v>1060</v>
      </c>
      <c r="B223" t="s">
        <v>882</v>
      </c>
    </row>
    <row r="224" spans="1:2" x14ac:dyDescent="0.3">
      <c r="A224" t="s">
        <v>2457</v>
      </c>
      <c r="B224" t="s">
        <v>202</v>
      </c>
    </row>
    <row r="225" spans="1:2" x14ac:dyDescent="0.3">
      <c r="A225" t="s">
        <v>202</v>
      </c>
      <c r="B225" t="s">
        <v>202</v>
      </c>
    </row>
    <row r="226" spans="1:2" x14ac:dyDescent="0.3">
      <c r="A226" t="s">
        <v>1065</v>
      </c>
      <c r="B226" t="s">
        <v>1065</v>
      </c>
    </row>
    <row r="227" spans="1:2" x14ac:dyDescent="0.3">
      <c r="A227" t="s">
        <v>2451</v>
      </c>
      <c r="B227" t="s">
        <v>701</v>
      </c>
    </row>
    <row r="228" spans="1:2" x14ac:dyDescent="0.3">
      <c r="A228" t="s">
        <v>2545</v>
      </c>
      <c r="B228" t="s">
        <v>701</v>
      </c>
    </row>
    <row r="229" spans="1:2" x14ac:dyDescent="0.3">
      <c r="A229" t="s">
        <v>2402</v>
      </c>
      <c r="B229" t="s">
        <v>781</v>
      </c>
    </row>
    <row r="230" spans="1:2" x14ac:dyDescent="0.3">
      <c r="A230" t="s">
        <v>2546</v>
      </c>
      <c r="B230" t="s">
        <v>237</v>
      </c>
    </row>
    <row r="231" spans="1:2" x14ac:dyDescent="0.3">
      <c r="A231" t="s">
        <v>1120</v>
      </c>
      <c r="B231" t="s">
        <v>1121</v>
      </c>
    </row>
    <row r="232" spans="1:2" x14ac:dyDescent="0.3">
      <c r="A232" t="s">
        <v>2547</v>
      </c>
      <c r="B232" t="s">
        <v>105</v>
      </c>
    </row>
    <row r="233" spans="1:2" x14ac:dyDescent="0.3">
      <c r="A233" t="s">
        <v>118</v>
      </c>
      <c r="B233" t="s">
        <v>118</v>
      </c>
    </row>
    <row r="234" spans="1:2" x14ac:dyDescent="0.3">
      <c r="A234" t="s">
        <v>1468</v>
      </c>
      <c r="B234" t="s">
        <v>2463</v>
      </c>
    </row>
    <row r="235" spans="1:2" x14ac:dyDescent="0.3">
      <c r="A235" t="s">
        <v>2410</v>
      </c>
      <c r="B235" t="s">
        <v>2463</v>
      </c>
    </row>
    <row r="236" spans="1:2" x14ac:dyDescent="0.3">
      <c r="A236" t="s">
        <v>2384</v>
      </c>
      <c r="B236" t="s">
        <v>82</v>
      </c>
    </row>
    <row r="237" spans="1:2" x14ac:dyDescent="0.3">
      <c r="A237" t="s">
        <v>964</v>
      </c>
      <c r="B237" t="s">
        <v>82</v>
      </c>
    </row>
    <row r="238" spans="1:2" x14ac:dyDescent="0.3">
      <c r="A238" t="s">
        <v>829</v>
      </c>
      <c r="B238" t="s">
        <v>82</v>
      </c>
    </row>
    <row r="239" spans="1:2" x14ac:dyDescent="0.3">
      <c r="A239" t="s">
        <v>2419</v>
      </c>
      <c r="B239" t="s">
        <v>2464</v>
      </c>
    </row>
    <row r="240" spans="1:2" x14ac:dyDescent="0.3">
      <c r="A240" t="s">
        <v>220</v>
      </c>
      <c r="B240" t="s">
        <v>221</v>
      </c>
    </row>
    <row r="241" spans="1:2" x14ac:dyDescent="0.3">
      <c r="A241" t="s">
        <v>2548</v>
      </c>
      <c r="B241" t="s">
        <v>190</v>
      </c>
    </row>
    <row r="242" spans="1:2" x14ac:dyDescent="0.3">
      <c r="A242" t="s">
        <v>1432</v>
      </c>
      <c r="B242" t="s">
        <v>390</v>
      </c>
    </row>
    <row r="243" spans="1:2" x14ac:dyDescent="0.3">
      <c r="A243" t="s">
        <v>2431</v>
      </c>
      <c r="B243" t="s">
        <v>406</v>
      </c>
    </row>
    <row r="244" spans="1:2" x14ac:dyDescent="0.3">
      <c r="A244" t="s">
        <v>2427</v>
      </c>
      <c r="B244" t="s">
        <v>406</v>
      </c>
    </row>
    <row r="245" spans="1:2" x14ac:dyDescent="0.3">
      <c r="A245" t="s">
        <v>1033</v>
      </c>
      <c r="B245" t="s">
        <v>156</v>
      </c>
    </row>
    <row r="246" spans="1:2" x14ac:dyDescent="0.3">
      <c r="A246" t="s">
        <v>2379</v>
      </c>
      <c r="B246" t="s">
        <v>2516</v>
      </c>
    </row>
    <row r="247" spans="1:2" x14ac:dyDescent="0.3">
      <c r="A247" t="s">
        <v>2374</v>
      </c>
      <c r="B247" t="s">
        <v>2466</v>
      </c>
    </row>
    <row r="248" spans="1:2" x14ac:dyDescent="0.3">
      <c r="A248" t="s">
        <v>272</v>
      </c>
      <c r="B248" t="s">
        <v>208</v>
      </c>
    </row>
    <row r="249" spans="1:2" x14ac:dyDescent="0.3">
      <c r="A249" t="s">
        <v>1075</v>
      </c>
      <c r="B249" t="s">
        <v>1075</v>
      </c>
    </row>
    <row r="250" spans="1:2" x14ac:dyDescent="0.3">
      <c r="A250" t="s">
        <v>2442</v>
      </c>
      <c r="B250" t="s">
        <v>184</v>
      </c>
    </row>
    <row r="251" spans="1:2" x14ac:dyDescent="0.3">
      <c r="A251" t="s">
        <v>2549</v>
      </c>
      <c r="B251" t="s">
        <v>184</v>
      </c>
    </row>
    <row r="252" spans="1:2" x14ac:dyDescent="0.3">
      <c r="A252" t="s">
        <v>2409</v>
      </c>
      <c r="B252" t="s">
        <v>170</v>
      </c>
    </row>
    <row r="253" spans="1:2" x14ac:dyDescent="0.3">
      <c r="A253" t="s">
        <v>170</v>
      </c>
      <c r="B253" t="s">
        <v>170</v>
      </c>
    </row>
    <row r="254" spans="1:2" x14ac:dyDescent="0.3">
      <c r="A254" t="s">
        <v>2363</v>
      </c>
      <c r="B254" t="s">
        <v>111</v>
      </c>
    </row>
    <row r="255" spans="1:2" x14ac:dyDescent="0.3">
      <c r="A255" t="s">
        <v>1748</v>
      </c>
      <c r="B255" t="s">
        <v>131</v>
      </c>
    </row>
    <row r="256" spans="1:2" x14ac:dyDescent="0.3">
      <c r="A256" t="s">
        <v>2369</v>
      </c>
      <c r="B256" t="s">
        <v>908</v>
      </c>
    </row>
    <row r="257" spans="1:2" x14ac:dyDescent="0.3">
      <c r="A257" t="s">
        <v>1088</v>
      </c>
      <c r="B257" t="s">
        <v>1089</v>
      </c>
    </row>
    <row r="258" spans="1:2" x14ac:dyDescent="0.3">
      <c r="A258" t="s">
        <v>2550</v>
      </c>
      <c r="B258" t="s">
        <v>823</v>
      </c>
    </row>
    <row r="259" spans="1:2" x14ac:dyDescent="0.3">
      <c r="A259" t="s">
        <v>985</v>
      </c>
      <c r="B259" t="s">
        <v>933</v>
      </c>
    </row>
    <row r="260" spans="1:2" x14ac:dyDescent="0.3">
      <c r="A260" t="s">
        <v>2551</v>
      </c>
      <c r="B260" t="s">
        <v>933</v>
      </c>
    </row>
    <row r="261" spans="1:2" x14ac:dyDescent="0.3">
      <c r="A261" t="s">
        <v>2441</v>
      </c>
      <c r="B261" t="s">
        <v>997</v>
      </c>
    </row>
    <row r="262" spans="1:2" x14ac:dyDescent="0.3">
      <c r="A262" t="s">
        <v>124</v>
      </c>
      <c r="B262" t="s">
        <v>124</v>
      </c>
    </row>
    <row r="263" spans="1:2" x14ac:dyDescent="0.3">
      <c r="A263" t="s">
        <v>201</v>
      </c>
      <c r="B263" t="s">
        <v>202</v>
      </c>
    </row>
    <row r="264" spans="1:2" x14ac:dyDescent="0.3">
      <c r="A264" t="s">
        <v>2437</v>
      </c>
      <c r="B264" t="s">
        <v>145</v>
      </c>
    </row>
    <row r="265" spans="1:2" x14ac:dyDescent="0.3">
      <c r="A265" t="s">
        <v>237</v>
      </c>
      <c r="B265" t="s">
        <v>237</v>
      </c>
    </row>
    <row r="266" spans="1:2" x14ac:dyDescent="0.3">
      <c r="A266" t="s">
        <v>677</v>
      </c>
      <c r="B266" t="s">
        <v>118</v>
      </c>
    </row>
    <row r="267" spans="1:2" x14ac:dyDescent="0.3">
      <c r="A267" t="s">
        <v>2552</v>
      </c>
      <c r="B267" t="s">
        <v>82</v>
      </c>
    </row>
    <row r="268" spans="1:2" x14ac:dyDescent="0.3">
      <c r="A268" t="s">
        <v>873</v>
      </c>
      <c r="B268" t="s">
        <v>53</v>
      </c>
    </row>
    <row r="269" spans="1:2" x14ac:dyDescent="0.3">
      <c r="A269" t="s">
        <v>2553</v>
      </c>
      <c r="B269" t="s">
        <v>221</v>
      </c>
    </row>
    <row r="270" spans="1:2" x14ac:dyDescent="0.3">
      <c r="A270" t="s">
        <v>221</v>
      </c>
      <c r="B270" t="s">
        <v>221</v>
      </c>
    </row>
    <row r="271" spans="1:2" x14ac:dyDescent="0.3">
      <c r="A271" t="s">
        <v>2421</v>
      </c>
      <c r="B271" t="s">
        <v>190</v>
      </c>
    </row>
    <row r="272" spans="1:2" x14ac:dyDescent="0.3">
      <c r="A272" t="s">
        <v>2554</v>
      </c>
      <c r="B272" t="s">
        <v>390</v>
      </c>
    </row>
    <row r="273" spans="1:2" x14ac:dyDescent="0.3">
      <c r="A273" t="s">
        <v>856</v>
      </c>
      <c r="B273" t="s">
        <v>406</v>
      </c>
    </row>
    <row r="274" spans="1:2" x14ac:dyDescent="0.3">
      <c r="A274" t="s">
        <v>1135</v>
      </c>
      <c r="B274" t="s">
        <v>406</v>
      </c>
    </row>
    <row r="275" spans="1:2" x14ac:dyDescent="0.3">
      <c r="A275" t="s">
        <v>2466</v>
      </c>
      <c r="B275" t="s">
        <v>2466</v>
      </c>
    </row>
    <row r="276" spans="1:2" x14ac:dyDescent="0.3">
      <c r="A276" t="s">
        <v>1015</v>
      </c>
      <c r="B276" t="s">
        <v>1015</v>
      </c>
    </row>
    <row r="277" spans="1:2" x14ac:dyDescent="0.3">
      <c r="A277" t="s">
        <v>177</v>
      </c>
      <c r="B277" t="s">
        <v>177</v>
      </c>
    </row>
    <row r="278" spans="1:2" x14ac:dyDescent="0.3">
      <c r="A278" t="s">
        <v>1614</v>
      </c>
      <c r="B278" t="s">
        <v>137</v>
      </c>
    </row>
    <row r="279" spans="1:2" x14ac:dyDescent="0.3">
      <c r="A279" t="s">
        <v>214</v>
      </c>
      <c r="B279" t="s">
        <v>184</v>
      </c>
    </row>
    <row r="280" spans="1:2" x14ac:dyDescent="0.3">
      <c r="A280" t="s">
        <v>2555</v>
      </c>
      <c r="B280" t="s">
        <v>184</v>
      </c>
    </row>
    <row r="281" spans="1:2" x14ac:dyDescent="0.3">
      <c r="A281" t="s">
        <v>1053</v>
      </c>
      <c r="B281" t="s">
        <v>1054</v>
      </c>
    </row>
    <row r="282" spans="1:2" x14ac:dyDescent="0.3">
      <c r="A282" t="s">
        <v>1448</v>
      </c>
      <c r="B282" t="s">
        <v>131</v>
      </c>
    </row>
    <row r="283" spans="1:2" x14ac:dyDescent="0.3">
      <c r="A283" t="s">
        <v>2443</v>
      </c>
      <c r="B283" t="s">
        <v>131</v>
      </c>
    </row>
    <row r="284" spans="1:2" x14ac:dyDescent="0.3">
      <c r="A284" t="s">
        <v>131</v>
      </c>
      <c r="B284" t="s">
        <v>131</v>
      </c>
    </row>
    <row r="285" spans="1:2" x14ac:dyDescent="0.3">
      <c r="A285" t="s">
        <v>907</v>
      </c>
      <c r="B285" t="s">
        <v>908</v>
      </c>
    </row>
    <row r="286" spans="1:2" x14ac:dyDescent="0.3">
      <c r="A286" t="s">
        <v>2373</v>
      </c>
      <c r="B286" t="s">
        <v>1065</v>
      </c>
    </row>
    <row r="287" spans="1:2" x14ac:dyDescent="0.3">
      <c r="A287" t="s">
        <v>2404</v>
      </c>
      <c r="B287" t="s">
        <v>1121</v>
      </c>
    </row>
    <row r="288" spans="1:2" x14ac:dyDescent="0.3">
      <c r="A288" t="s">
        <v>2556</v>
      </c>
      <c r="B288" t="s">
        <v>53</v>
      </c>
    </row>
    <row r="289" spans="1:2" x14ac:dyDescent="0.3">
      <c r="A289" t="s">
        <v>2395</v>
      </c>
      <c r="B289" t="s">
        <v>1015</v>
      </c>
    </row>
    <row r="290" spans="1:2" x14ac:dyDescent="0.3">
      <c r="A290" t="s">
        <v>208</v>
      </c>
      <c r="B290" t="s">
        <v>208</v>
      </c>
    </row>
    <row r="291" spans="1:2" x14ac:dyDescent="0.3">
      <c r="A291" t="s">
        <v>1054</v>
      </c>
      <c r="B291" t="s">
        <v>1054</v>
      </c>
    </row>
    <row r="292" spans="1:2" x14ac:dyDescent="0.3">
      <c r="A292" t="s">
        <v>661</v>
      </c>
      <c r="B292" t="s">
        <v>661</v>
      </c>
    </row>
    <row r="293" spans="1:2" x14ac:dyDescent="0.3">
      <c r="A293" t="s">
        <v>670</v>
      </c>
      <c r="B293" t="s">
        <v>671</v>
      </c>
    </row>
    <row r="294" spans="1:2" x14ac:dyDescent="0.3">
      <c r="A294" t="s">
        <v>64</v>
      </c>
      <c r="B294" t="s">
        <v>701</v>
      </c>
    </row>
    <row r="295" spans="1:2" x14ac:dyDescent="0.3">
      <c r="A295" t="s">
        <v>2411</v>
      </c>
      <c r="B295" t="s">
        <v>2463</v>
      </c>
    </row>
    <row r="296" spans="1:2" x14ac:dyDescent="0.3">
      <c r="A296" t="s">
        <v>2558</v>
      </c>
      <c r="B296" t="s">
        <v>75</v>
      </c>
    </row>
    <row r="297" spans="1:2" x14ac:dyDescent="0.3">
      <c r="A297" t="s">
        <v>2559</v>
      </c>
      <c r="B297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EV_Stations</vt:lpstr>
      <vt:lpstr>City_Lookup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Mithilesh Pandit</cp:lastModifiedBy>
  <dcterms:created xsi:type="dcterms:W3CDTF">2026-09-03T15:03:43Z</dcterms:created>
  <dcterms:modified xsi:type="dcterms:W3CDTF">2026-09-09T16:29:02Z</dcterms:modified>
</cp:coreProperties>
</file>